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3bad809d35ce09/Documents/BudgetApp/"/>
    </mc:Choice>
  </mc:AlternateContent>
  <xr:revisionPtr revIDLastSave="3876" documentId="6_{FA6404FB-2010-4BC1-BBC3-31A03BB7CFB2}" xr6:coauthVersionLast="47" xr6:coauthVersionMax="47" xr10:uidLastSave="{2D93894C-D489-4BF1-B898-DFBAE4A5E2D6}"/>
  <bookViews>
    <workbookView xWindow="0" yWindow="0" windowWidth="14400" windowHeight="15600" xr2:uid="{CE745CBB-D9E8-413C-9A5D-01FBB302FC48}"/>
    <workbookView xWindow="3975" yWindow="0" windowWidth="24825" windowHeight="15600" xr2:uid="{FA6CE208-A413-4DF0-80AC-BEC4EB4130C7}"/>
  </bookViews>
  <sheets>
    <sheet name="MonthlyBudget" sheetId="8" r:id="rId1"/>
    <sheet name="MonthlyBudget_Archive" sheetId="7" r:id="rId2"/>
    <sheet name="Accounts" sheetId="1" r:id="rId3"/>
    <sheet name="SpendingCorinne" sheetId="3" r:id="rId4"/>
    <sheet name="SpendingJoint" sheetId="4" r:id="rId5"/>
    <sheet name="SpendingJohn" sheetId="5" r:id="rId6"/>
    <sheet name="Incoming" sheetId="2" r:id="rId7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8" l="1"/>
  <c r="H2" i="8"/>
  <c r="H3" i="8"/>
  <c r="H14" i="8"/>
  <c r="H15" i="8"/>
  <c r="H16" i="8"/>
  <c r="H17" i="8"/>
  <c r="H18" i="8"/>
  <c r="H19" i="8"/>
  <c r="H20" i="8"/>
  <c r="H21" i="8"/>
  <c r="H22" i="8"/>
  <c r="H23" i="8"/>
  <c r="H24" i="8"/>
  <c r="H26" i="8"/>
  <c r="H27" i="8"/>
  <c r="H29" i="8"/>
  <c r="H13" i="8"/>
  <c r="I7" i="8"/>
  <c r="H6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1" i="8"/>
  <c r="I10" i="8"/>
  <c r="I9" i="8"/>
  <c r="I8" i="8"/>
  <c r="D2" i="8"/>
  <c r="D36" i="8"/>
  <c r="D35" i="8"/>
  <c r="B36" i="8"/>
  <c r="D3" i="8"/>
  <c r="B11" i="8"/>
  <c r="B10" i="8"/>
  <c r="B9" i="8"/>
  <c r="B8" i="8"/>
  <c r="B4" i="7"/>
  <c r="C25" i="7"/>
  <c r="D13" i="8"/>
  <c r="B3" i="7"/>
  <c r="B7" i="8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D29" i="8"/>
  <c r="D6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C27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6" i="7"/>
  <c r="C7" i="7"/>
  <c r="F844" i="3"/>
  <c r="F843" i="3"/>
  <c r="F845" i="3"/>
  <c r="F846" i="3"/>
  <c r="F924" i="3"/>
  <c r="D42" i="4"/>
  <c r="E6" i="1"/>
  <c r="F782" i="3"/>
  <c r="F787" i="3"/>
  <c r="G262" i="5"/>
  <c r="E89" i="5"/>
  <c r="E66" i="5"/>
  <c r="F626" i="3"/>
  <c r="I6" i="8" l="1"/>
  <c r="H35" i="8"/>
  <c r="H36" i="8" s="1"/>
  <c r="I36" i="8" s="1"/>
  <c r="E11" i="8"/>
  <c r="E6" i="8"/>
  <c r="E13" i="8"/>
  <c r="E23" i="8"/>
  <c r="E16" i="8"/>
  <c r="E10" i="8"/>
  <c r="E21" i="8"/>
  <c r="E25" i="8"/>
  <c r="E27" i="8"/>
  <c r="E28" i="8"/>
  <c r="E29" i="8"/>
  <c r="E8" i="8"/>
  <c r="E9" i="8"/>
  <c r="E18" i="8"/>
  <c r="E22" i="8"/>
  <c r="E26" i="8"/>
  <c r="E7" i="8"/>
  <c r="E20" i="8"/>
  <c r="E14" i="8"/>
  <c r="E17" i="8"/>
  <c r="E24" i="8"/>
  <c r="E15" i="8"/>
  <c r="E19" i="8"/>
  <c r="E3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tc={5F53A151-1BE4-4181-BBD0-6F7B1204AD36}</author>
    <author>tc={7FC0A249-3056-463C-81E4-599CE5394025}</author>
  </authors>
  <commentList>
    <comment ref="D3" authorId="0" shapeId="0" xr:uid="{5F53A151-1BE4-4181-BBD0-6F7B1204AD36}">
      <text>
        <t>[Threaded comment]
Your version of Excel allows you to read this threaded comment; however, any edits to it will get removed if the file is opened in a newer version of Excel. Learn more: https://go.microsoft.com/fwlink/?linkid=870924
Comment:
    = -total made so far - total estimated left to make</t>
      </text>
    </comment>
    <comment ref="H3" authorId="1" shapeId="0" xr:uid="{7FC0A249-3056-463C-81E4-599CE5394025}">
      <text>
        <t>[Threaded comment]
Your version of Excel allows you to read this threaded comment; however, any edits to it will get removed if the file is opened in a newer version of Excel. Learn more: https://go.microsoft.com/fwlink/?linkid=870924
Comment:
    = -total made so far - total estimated left to make</t>
      </text>
    </comment>
  </commentList>
</comments>
</file>

<file path=xl/sharedStrings.xml><?xml version="1.0" encoding="utf-8"?>
<sst xmlns="http://schemas.openxmlformats.org/spreadsheetml/2006/main" count="2672" uniqueCount="623">
  <si>
    <t>Bucket</t>
  </si>
  <si>
    <t>Budget</t>
  </si>
  <si>
    <t>Corinne</t>
  </si>
  <si>
    <t>John</t>
  </si>
  <si>
    <t>Joint</t>
  </si>
  <si>
    <t>Loans</t>
  </si>
  <si>
    <t>Groceries</t>
  </si>
  <si>
    <t>Bills</t>
  </si>
  <si>
    <t>House</t>
  </si>
  <si>
    <t>Restaurants/Takeout</t>
  </si>
  <si>
    <t>Shopping</t>
  </si>
  <si>
    <t>Health/Beauty</t>
  </si>
  <si>
    <t>Alcohol</t>
  </si>
  <si>
    <t>Freya</t>
  </si>
  <si>
    <t>Coffee/Snacks</t>
  </si>
  <si>
    <t>Gift</t>
  </si>
  <si>
    <t>Transportation</t>
  </si>
  <si>
    <t>Auto</t>
  </si>
  <si>
    <t>Work Commuting</t>
  </si>
  <si>
    <t>Savings</t>
  </si>
  <si>
    <t>Provider</t>
  </si>
  <si>
    <t>Type</t>
  </si>
  <si>
    <t>Account</t>
  </si>
  <si>
    <t>Total</t>
  </si>
  <si>
    <t>Owner</t>
  </si>
  <si>
    <t>Due Date</t>
  </si>
  <si>
    <t>Chase</t>
  </si>
  <si>
    <t>Travel</t>
  </si>
  <si>
    <t>Freedom</t>
  </si>
  <si>
    <t>Amex</t>
  </si>
  <si>
    <t>Home Depot</t>
  </si>
  <si>
    <t>No Interest</t>
  </si>
  <si>
    <t>Jan 6th 2027</t>
  </si>
  <si>
    <t>Amazon</t>
  </si>
  <si>
    <t>Both</t>
  </si>
  <si>
    <t>Capital One</t>
  </si>
  <si>
    <t>Transaction</t>
  </si>
  <si>
    <t>Pay Anne</t>
  </si>
  <si>
    <t>Pay Bill</t>
  </si>
  <si>
    <t>Plan Ahead</t>
  </si>
  <si>
    <t>Category</t>
  </si>
  <si>
    <t xml:space="preserve">Transaction </t>
  </si>
  <si>
    <t>Date</t>
  </si>
  <si>
    <t>Flash Fitness</t>
  </si>
  <si>
    <t>Business</t>
  </si>
  <si>
    <t>Canva</t>
  </si>
  <si>
    <t>Dunkin</t>
  </si>
  <si>
    <t>Dunkin Credit</t>
  </si>
  <si>
    <t>USPS</t>
  </si>
  <si>
    <t>Colette Bakery</t>
  </si>
  <si>
    <t>Wayfair</t>
  </si>
  <si>
    <t>Rhode Island Turnpike</t>
  </si>
  <si>
    <t>Supercuts</t>
  </si>
  <si>
    <t>GAP Outlet</t>
  </si>
  <si>
    <t>Old Navy</t>
  </si>
  <si>
    <t>Metropolis Parking</t>
  </si>
  <si>
    <t>CVS</t>
  </si>
  <si>
    <t>Uber</t>
  </si>
  <si>
    <t>Trader Joes</t>
  </si>
  <si>
    <t>Daycare</t>
  </si>
  <si>
    <t>Etsy</t>
  </si>
  <si>
    <t>Medtronic Commuter Benfits</t>
  </si>
  <si>
    <t xml:space="preserve">Beacon Psyciatry </t>
  </si>
  <si>
    <t>SQ *GAIL CARPENTER  LICSW</t>
  </si>
  <si>
    <t>Petsmart</t>
  </si>
  <si>
    <t>Funny Fuzzy - Dog Canopy</t>
  </si>
  <si>
    <t>Whole Foods</t>
  </si>
  <si>
    <t>Teele Square Liqour</t>
  </si>
  <si>
    <t>Amazon Marketplace, Amazon.com</t>
  </si>
  <si>
    <t>eBay</t>
  </si>
  <si>
    <t>METROPOLIS PARKING</t>
  </si>
  <si>
    <t>Malden Center Fine Wines</t>
  </si>
  <si>
    <t>DIG INN SEAPORT</t>
  </si>
  <si>
    <t>CAFE BAR II</t>
  </si>
  <si>
    <t>Sunoco</t>
  </si>
  <si>
    <t>Subscriptions</t>
  </si>
  <si>
    <t>Spotify</t>
  </si>
  <si>
    <t>Midtown Oyster Bar</t>
  </si>
  <si>
    <t>Island Wine &amp; Spirits</t>
  </si>
  <si>
    <t>GANSETT WRAPS NORTH</t>
  </si>
  <si>
    <t>CVS/PHARMACY #00595</t>
  </si>
  <si>
    <t>WWWSTARNA STAR NAILS</t>
  </si>
  <si>
    <t>Lyft</t>
  </si>
  <si>
    <t>Lowe's Home Improvement</t>
  </si>
  <si>
    <t>RIVERDOG</t>
  </si>
  <si>
    <t>JACKSON STREET GAR</t>
  </si>
  <si>
    <t>ALIEXPRESS</t>
  </si>
  <si>
    <t>MyChoice Reimbursement</t>
  </si>
  <si>
    <t>Venmo - Juliannas Joy Cons</t>
  </si>
  <si>
    <t>Venmo - Aperol Spritza</t>
  </si>
  <si>
    <t>ChatGPT</t>
  </si>
  <si>
    <t>Offer:eBay</t>
  </si>
  <si>
    <t>YoutubeTv</t>
  </si>
  <si>
    <t>Andy's Service Ctr</t>
  </si>
  <si>
    <t>The Home Depot</t>
  </si>
  <si>
    <t>Marshalls</t>
  </si>
  <si>
    <t>Amazon.com</t>
  </si>
  <si>
    <t>Zuru Zuru Ramen</t>
  </si>
  <si>
    <t>Market Basket</t>
  </si>
  <si>
    <t>Nintendo</t>
  </si>
  <si>
    <t>Gail Carpenter</t>
  </si>
  <si>
    <t>Amex Annual Fee</t>
  </si>
  <si>
    <t>Narragansett Airbnb</t>
  </si>
  <si>
    <t>Venmo  - Ramen</t>
  </si>
  <si>
    <t>Apple Digital Services</t>
  </si>
  <si>
    <t>Lunchdrop</t>
  </si>
  <si>
    <t>Venmo - Narragansett</t>
  </si>
  <si>
    <t>Dairy Delight</t>
  </si>
  <si>
    <t>Dispensary</t>
  </si>
  <si>
    <t>Dispensary ATM Fee</t>
  </si>
  <si>
    <t>eBay Offer</t>
  </si>
  <si>
    <t>Venmo - Dog Crate</t>
  </si>
  <si>
    <t>eBay refund</t>
  </si>
  <si>
    <t>−$32.80</t>
  </si>
  <si>
    <t>Dogsitter</t>
  </si>
  <si>
    <t>Johns Auto Service</t>
  </si>
  <si>
    <t>Peacock</t>
  </si>
  <si>
    <t>USPS Post Office</t>
  </si>
  <si>
    <t>GAIL CARPENTER LICSW</t>
  </si>
  <si>
    <t>Nuuly</t>
  </si>
  <si>
    <t>USPS Online</t>
  </si>
  <si>
    <t>SP SODAPUP, Shop Pay</t>
  </si>
  <si>
    <t>Yes</t>
  </si>
  <si>
    <t>New Sneakers</t>
  </si>
  <si>
    <t>Home Depot AC</t>
  </si>
  <si>
    <t>Desk for Papa</t>
  </si>
  <si>
    <t>Passport Updates</t>
  </si>
  <si>
    <t>New Laptop</t>
  </si>
  <si>
    <t>Pay Kristen for Narragansett</t>
  </si>
  <si>
    <t>Amazon - Picture Frame</t>
  </si>
  <si>
    <t>Amazon - Bathroom Accessories</t>
  </si>
  <si>
    <t>Amazon - Bathroom Mirror</t>
  </si>
  <si>
    <t>Garrett - YoutubeTv</t>
  </si>
  <si>
    <t>Verizon</t>
  </si>
  <si>
    <t>Comcast</t>
  </si>
  <si>
    <t>National Grid</t>
  </si>
  <si>
    <t>Water Bill</t>
  </si>
  <si>
    <t>Insurance</t>
  </si>
  <si>
    <t>Progressive</t>
  </si>
  <si>
    <t>Trash Can</t>
  </si>
  <si>
    <t>Ikea Shelves and Desk</t>
  </si>
  <si>
    <t>Column1</t>
  </si>
  <si>
    <t>Buccieri's Pizza</t>
  </si>
  <si>
    <t>Lamplighter Brewery</t>
  </si>
  <si>
    <t>Prima</t>
  </si>
  <si>
    <t>Portico Brewing</t>
  </si>
  <si>
    <t>Aeronaut Brewing</t>
  </si>
  <si>
    <t>Stop &amp; Shop</t>
  </si>
  <si>
    <t>Town Line Paint</t>
  </si>
  <si>
    <t>Target</t>
  </si>
  <si>
    <t>Santa Fe Burrito Grill</t>
  </si>
  <si>
    <t>Student Loans</t>
  </si>
  <si>
    <t>Exchange Street Bistro</t>
  </si>
  <si>
    <t>Buccieri's Pizzeria</t>
  </si>
  <si>
    <t>TODSON, Shop Pay</t>
  </si>
  <si>
    <t>Chow N' Joy</t>
  </si>
  <si>
    <t>Whole Foods Market</t>
  </si>
  <si>
    <t>Dunkin'</t>
  </si>
  <si>
    <t>BAGEL WORLD RT</t>
  </si>
  <si>
    <t>Fishermans Fleet</t>
  </si>
  <si>
    <t>GAME ON FENWAY PARK</t>
  </si>
  <si>
    <t>McDonald's</t>
  </si>
  <si>
    <t>Elm Street Taproom</t>
  </si>
  <si>
    <t>DRAGON PIZZA</t>
  </si>
  <si>
    <t>Exxon</t>
  </si>
  <si>
    <t>Cafe Zing</t>
  </si>
  <si>
    <t>Liqour Aisle</t>
  </si>
  <si>
    <t>Chris &amp; Nina Gift</t>
  </si>
  <si>
    <t>GUE</t>
  </si>
  <si>
    <t>E-ZPass</t>
  </si>
  <si>
    <t>Petco</t>
  </si>
  <si>
    <t>Dairy Delgiht</t>
  </si>
  <si>
    <t>Irish Village</t>
  </si>
  <si>
    <t>Corrib Pub</t>
  </si>
  <si>
    <t>Drum Hill Liqour</t>
  </si>
  <si>
    <t>DeMoulas Market Basket</t>
  </si>
  <si>
    <t>Ocean State Job Lot</t>
  </si>
  <si>
    <t>Dunkin Donuts</t>
  </si>
  <si>
    <t>NOELS</t>
  </si>
  <si>
    <t>BIG GARYS II</t>
  </si>
  <si>
    <t>Seven Moons Resturant</t>
  </si>
  <si>
    <t>Hair Cut</t>
  </si>
  <si>
    <t>Bridget Wedding Gift</t>
  </si>
  <si>
    <t>Chair Rail Trim</t>
  </si>
  <si>
    <t>Greta Grad Party</t>
  </si>
  <si>
    <t>Sound Bar</t>
  </si>
  <si>
    <t>John's Blundstones</t>
  </si>
  <si>
    <t>Ski Bags</t>
  </si>
  <si>
    <t>November</t>
  </si>
  <si>
    <t>FACES BREWING COMPAN</t>
  </si>
  <si>
    <t>ZURU ZURU RAMEN AND DO</t>
  </si>
  <si>
    <t>CVS Extra Care</t>
  </si>
  <si>
    <t>LUNCHDROP</t>
  </si>
  <si>
    <t>AMEX DUNKIN' CREDIT</t>
  </si>
  <si>
    <t>DUNKIN' MOBILE CANTON MA</t>
  </si>
  <si>
    <t>LUNCHDROP LUNCHDROP.COM NY</t>
  </si>
  <si>
    <t>Venmo</t>
  </si>
  <si>
    <t>Girls Brunch Reimbursement</t>
  </si>
  <si>
    <t>Starbucks</t>
  </si>
  <si>
    <t>Santa Fe</t>
  </si>
  <si>
    <t>LUCKY KNOT MAI</t>
  </si>
  <si>
    <t>Rise Up Coffee</t>
  </si>
  <si>
    <t>FAT CRAB BAR AND G</t>
  </si>
  <si>
    <t>PY MCGARVEYS SALOON AND OY</t>
  </si>
  <si>
    <t>BOS AIRP B GOOD BURGER, JOHN WALSH</t>
  </si>
  <si>
    <t>UBER</t>
  </si>
  <si>
    <t>Historic Inns of Annapolis</t>
  </si>
  <si>
    <t>MARKET HOUSE ANNAP</t>
  </si>
  <si>
    <t>Secret Spot LLC</t>
  </si>
  <si>
    <t>Chick &amp; Ruths Delly</t>
  </si>
  <si>
    <t>ACME BAR &amp; GRILL</t>
  </si>
  <si>
    <t>Potbelly Sandwich Shop</t>
  </si>
  <si>
    <t>PY ONSITE NEWS S</t>
  </si>
  <si>
    <t>PADDLENET CHATBOTAI</t>
  </si>
  <si>
    <t>TST*MINEIRAO STEAKHOUSE</t>
  </si>
  <si>
    <t>Melrose Animal Clinic PC</t>
  </si>
  <si>
    <t>FLASH FITNESS MEDFORD</t>
  </si>
  <si>
    <t>AliExpress</t>
  </si>
  <si>
    <t>Activities</t>
  </si>
  <si>
    <t>Youtube TV</t>
  </si>
  <si>
    <t>Steam</t>
  </si>
  <si>
    <t>SUPERIOR GAS</t>
  </si>
  <si>
    <t>Maine Turnpike Authority</t>
  </si>
  <si>
    <t>Shell</t>
  </si>
  <si>
    <t>The Knot</t>
  </si>
  <si>
    <t>KING BIBIS MALDEN</t>
  </si>
  <si>
    <t>Mass General Brigham</t>
  </si>
  <si>
    <t>JP LICKS CHARLES S</t>
  </si>
  <si>
    <t>PREP HERO CAFE</t>
  </si>
  <si>
    <t>September</t>
  </si>
  <si>
    <t>ETSY REFUND</t>
  </si>
  <si>
    <t>GAIL CARPENTER LI</t>
  </si>
  <si>
    <t>Sephora.com</t>
  </si>
  <si>
    <t>Trader Joe's</t>
  </si>
  <si>
    <t>CITY OF MEDFORD GTECHNA</t>
  </si>
  <si>
    <t>LIQUOR AISLE</t>
  </si>
  <si>
    <t>Domino's Pizza</t>
  </si>
  <si>
    <t>NEWPORT CREAMERY M</t>
  </si>
  <si>
    <t>Custom Coffee House</t>
  </si>
  <si>
    <t>Dunkin' Mobile App</t>
  </si>
  <si>
    <t>COUNTRY CHOWDER SHACK</t>
  </si>
  <si>
    <t>$10 PAZE CREDIT</t>
  </si>
  <si>
    <t>DISTRICT KITCHENCHINE</t>
  </si>
  <si>
    <t>BAGELZ</t>
  </si>
  <si>
    <t>NARRAGANSETTTOWNBEACH</t>
  </si>
  <si>
    <t>August</t>
  </si>
  <si>
    <t>MGH NFS EAT STREET CAFE</t>
  </si>
  <si>
    <t>Speedway</t>
  </si>
  <si>
    <t>August 13th</t>
  </si>
  <si>
    <t>Tall Ship</t>
  </si>
  <si>
    <t>City of Malden Parking</t>
  </si>
  <si>
    <t>Amazon-Garden Stakes</t>
  </si>
  <si>
    <t>Amazon - Air Filter, Nails, Phone Case</t>
  </si>
  <si>
    <t>Categories</t>
  </si>
  <si>
    <t>Speedway Gas</t>
  </si>
  <si>
    <t>A Touch of Magick</t>
  </si>
  <si>
    <t>Beantown Pub</t>
  </si>
  <si>
    <t>TALL SHIP EAST BOST</t>
  </si>
  <si>
    <t>TST*DAIRY DELIGHT</t>
  </si>
  <si>
    <t>The Blessing Barn</t>
  </si>
  <si>
    <t>Aerling Flights to France</t>
  </si>
  <si>
    <t>Capital One Travel Credit</t>
  </si>
  <si>
    <t>Kelly Brush Foundation</t>
  </si>
  <si>
    <t>Gifts</t>
  </si>
  <si>
    <t>PUBLIC TAVERN</t>
  </si>
  <si>
    <t>LS THE GENERAL STORE</t>
  </si>
  <si>
    <t>Anthropologie</t>
  </si>
  <si>
    <t>Claude</t>
  </si>
  <si>
    <t>Ski</t>
  </si>
  <si>
    <t>Ikon Passes</t>
  </si>
  <si>
    <t>France Airbnb</t>
  </si>
  <si>
    <t>PAYYOURSELFBACK CREDIT</t>
  </si>
  <si>
    <t>Venmo - Groceries</t>
  </si>
  <si>
    <t>Venmo - Freya</t>
  </si>
  <si>
    <t>Sunday River Airbnb</t>
  </si>
  <si>
    <t>Year to Date Income</t>
  </si>
  <si>
    <t>MARKET BASKET 00000745</t>
  </si>
  <si>
    <t>91691  JACKSON STREET GAR</t>
  </si>
  <si>
    <t>SPEEDWAY 44164</t>
  </si>
  <si>
    <t>USPS.COM CLICKNSHIP</t>
  </si>
  <si>
    <t>eBay O*06-14690-23041</t>
  </si>
  <si>
    <t>THE HOME DEPOT #2623</t>
  </si>
  <si>
    <t>TST*ZURU ZURU RAMEN &amp;amp; DO</t>
  </si>
  <si>
    <t>ANDY'S SERVICE CENTER</t>
  </si>
  <si>
    <t>MARSHALLS #0001</t>
  </si>
  <si>
    <t>www.cvs.com</t>
  </si>
  <si>
    <t>OPENAI *CHATGPT SUBSCR</t>
  </si>
  <si>
    <t>SQ *RIVERDOG</t>
  </si>
  <si>
    <t>TST*MIDTOWN OYSTER BAR</t>
  </si>
  <si>
    <t>LOWES #02372*</t>
  </si>
  <si>
    <t>TRADER JOE S #506</t>
  </si>
  <si>
    <t>TST*GANSETT WRAPS NORTH</t>
  </si>
  <si>
    <t>ISLAND WINE &amp;amp; SPIRITS #1</t>
  </si>
  <si>
    <t>WWW.STARNA* STAR NAILS</t>
  </si>
  <si>
    <t>CVSExtraCare 8007467287RI</t>
  </si>
  <si>
    <t>TRADER JOE S #566</t>
  </si>
  <si>
    <t>CANVA* I04868-48134049</t>
  </si>
  <si>
    <t>APPLE.COM/BILL</t>
  </si>
  <si>
    <t>PETCO 3761</t>
  </si>
  <si>
    <t>Subway 29818</t>
  </si>
  <si>
    <t>aliexpress</t>
  </si>
  <si>
    <t>DUNKIN #335602 Q35</t>
  </si>
  <si>
    <t>TST*REUNION COFFEE</t>
  </si>
  <si>
    <t>MBTA-550003449539-4842</t>
  </si>
  <si>
    <t>Rockler Woodworking and H</t>
  </si>
  <si>
    <t>TST*REVIVAL CAFE - NECCO</t>
  </si>
  <si>
    <t>BEV'S CAFE AND MARKET</t>
  </si>
  <si>
    <t>PETSMART # 0791</t>
  </si>
  <si>
    <t>DOORDASH DASHPASS</t>
  </si>
  <si>
    <t>KING PETROLEUM  BROADWAY</t>
  </si>
  <si>
    <t>SPI*NATIONAL GRID 05</t>
  </si>
  <si>
    <t>SPI*NATIONAL GRID 01</t>
  </si>
  <si>
    <t>STOP &amp;amp; SHOP 0043</t>
  </si>
  <si>
    <t>eBay O*25-14441-25009</t>
  </si>
  <si>
    <t>SHAWS 1442</t>
  </si>
  <si>
    <t>NUULY</t>
  </si>
  <si>
    <t>CANVA* I04838-62840655</t>
  </si>
  <si>
    <t>eBay O*20-14380-34464</t>
  </si>
  <si>
    <t>DUNKIN #330294 Q35</t>
  </si>
  <si>
    <t>WEGMANS MEDFORD #134</t>
  </si>
  <si>
    <t>REI.COM  800-426-4840</t>
  </si>
  <si>
    <t>eBay O*10-14324-15713</t>
  </si>
  <si>
    <t>SANTA FE BURRITO GRILL</t>
  </si>
  <si>
    <t>TARGET        00032870</t>
  </si>
  <si>
    <t>American Eagle Outfitters</t>
  </si>
  <si>
    <t>TST* VERA'S</t>
  </si>
  <si>
    <t>STOP &amp;amp; SHOP 0062</t>
  </si>
  <si>
    <t>Wine Cheese Cask</t>
  </si>
  <si>
    <t>NIKE.COM AP</t>
  </si>
  <si>
    <t>JOHNS AUTO SERVICE</t>
  </si>
  <si>
    <t>T J MAXX #1224</t>
  </si>
  <si>
    <t>BEACONPSYCHMA</t>
  </si>
  <si>
    <t>Offer:YouTube TV</t>
  </si>
  <si>
    <t>WALGREENS #19536</t>
  </si>
  <si>
    <t>GOOGLE *YouTube TV</t>
  </si>
  <si>
    <t>DD *DOORDASH SIAMSQUAR</t>
  </si>
  <si>
    <t>CUSTOMINK LLC</t>
  </si>
  <si>
    <t>eBay O*221438860985</t>
  </si>
  <si>
    <t>Mortgage</t>
  </si>
  <si>
    <t>MALDEN CENTER FINE WIN</t>
  </si>
  <si>
    <t>MARKET BASKET 0074</t>
  </si>
  <si>
    <t>TST*BOON STREET MARKET</t>
  </si>
  <si>
    <t>TST*AUDREYS COFFEEHOUSE</t>
  </si>
  <si>
    <t>MARSHALLS #616</t>
  </si>
  <si>
    <t>DUNKIN' MOBILE AP</t>
  </si>
  <si>
    <t>STP&amp;amp;SHPFUEL0731</t>
  </si>
  <si>
    <t>STOP &amp;amp; SHOP 0731</t>
  </si>
  <si>
    <t>CVS/PHARMACY #02065</t>
  </si>
  <si>
    <t>SP AWOO PETS</t>
  </si>
  <si>
    <t>PETCO 1830</t>
  </si>
  <si>
    <t>JERSEY MIKES ONLINE UC</t>
  </si>
  <si>
    <t>Etsy*Refund 4103015923</t>
  </si>
  <si>
    <t>SEPHORA.COM</t>
  </si>
  <si>
    <t>Nintendo CD1654161670</t>
  </si>
  <si>
    <t>STUBHUB CREDIT $300/YEAR</t>
  </si>
  <si>
    <t>STUBHUB INC</t>
  </si>
  <si>
    <t>BOS AIRP B GOOD BURGERS</t>
  </si>
  <si>
    <t>TST* THE FAT CRAB BAR &amp;amp; G</t>
  </si>
  <si>
    <t>PY *MCGARVEYS SALOON &amp;amp; OY</t>
  </si>
  <si>
    <t>THE LUCKY KNOT</t>
  </si>
  <si>
    <t>DUNKIN #306388</t>
  </si>
  <si>
    <t>Spotify USA</t>
  </si>
  <si>
    <t>TST* FACES BREWING COMPAN</t>
  </si>
  <si>
    <t>SP SODAPUP</t>
  </si>
  <si>
    <t>USPS PO 2400640148</t>
  </si>
  <si>
    <t>eBay O*08-14657-56413</t>
  </si>
  <si>
    <t>Offer:Sunoco</t>
  </si>
  <si>
    <t>Nintendo CD1635181014</t>
  </si>
  <si>
    <t>SUNOCO 8000024902</t>
  </si>
  <si>
    <t>TST*CAF BAR II</t>
  </si>
  <si>
    <t>TEELE SQUARE LIQUORS</t>
  </si>
  <si>
    <t>UFUNNYFUZZY</t>
  </si>
  <si>
    <t>WHOLEFDS SMV #10511</t>
  </si>
  <si>
    <t>RHODE ISLAND TURNPIKE AN</t>
  </si>
  <si>
    <t>OLD NAVY US 6172</t>
  </si>
  <si>
    <t>GAP OUTLET US 4236</t>
  </si>
  <si>
    <t>WF* WAYFAIR4467124515</t>
  </si>
  <si>
    <t>eBay O*07-14562-35481</t>
  </si>
  <si>
    <t>eBay O*24-14534-78128</t>
  </si>
  <si>
    <t>AAA MEMBERSHIP DUES</t>
  </si>
  <si>
    <t>Nintendo CC1614263165</t>
  </si>
  <si>
    <t>STARBUCKS 8007827282</t>
  </si>
  <si>
    <t>WM SUPERCENTER #3114</t>
  </si>
  <si>
    <t>Nintendo CC1608339959</t>
  </si>
  <si>
    <t>DUNKIN #340084</t>
  </si>
  <si>
    <t>MICHAELS STORES 1597</t>
  </si>
  <si>
    <t>ANNUAL MEMBERSHIP FEE</t>
  </si>
  <si>
    <t>CHEWY.COM</t>
  </si>
  <si>
    <t>TJMAXX #713</t>
  </si>
  <si>
    <t>PetSmart</t>
  </si>
  <si>
    <t>SPOTIFY</t>
  </si>
  <si>
    <t>DD *DOORDASH CHINASTAR</t>
  </si>
  <si>
    <t>Nintendo CD1571473603</t>
  </si>
  <si>
    <t>CL *Chase Travel</t>
  </si>
  <si>
    <t>$300 STUBHUB</t>
  </si>
  <si>
    <t>TRAVEL CREDIT $300/YEAR</t>
  </si>
  <si>
    <t>LYFT   *1 RIDE 02-06</t>
  </si>
  <si>
    <t>Audible*GS8FJ40U3</t>
  </si>
  <si>
    <t>ETSY  INC.</t>
  </si>
  <si>
    <t>LYFT   *1 RIDE 01-29</t>
  </si>
  <si>
    <t>MBTA PAY BY PHONE</t>
  </si>
  <si>
    <t>Nintendo CD1552561568</t>
  </si>
  <si>
    <t>DINING CREDIT $300/YEAR</t>
  </si>
  <si>
    <t>TST*CELESTE</t>
  </si>
  <si>
    <t>BLACK MOUNTAIN SKI AREA</t>
  </si>
  <si>
    <t>MARKET BASKET 00000323</t>
  </si>
  <si>
    <t>TST*TALL ORDER</t>
  </si>
  <si>
    <t>KENNEBUNK</t>
  </si>
  <si>
    <t>CVS/PHARMACY #08906</t>
  </si>
  <si>
    <t>MED*BETH ISRAEL LAHEY</t>
  </si>
  <si>
    <t>LYFT   *1 RIDE 01-01</t>
  </si>
  <si>
    <t>LYFT   *AIRPORT 0618</t>
  </si>
  <si>
    <t>SQ *RISE UP COFFEE  MARK</t>
  </si>
  <si>
    <t>eBay O*261472947082</t>
  </si>
  <si>
    <t>EBAY O*111475089263</t>
  </si>
  <si>
    <t>EBAY O*111475089262</t>
  </si>
  <si>
    <t>eBay O*081465756413</t>
  </si>
  <si>
    <t>LYFT   *1 RIDE 0516</t>
  </si>
  <si>
    <t>TST* DIG INN  SEAPORT</t>
  </si>
  <si>
    <t>eBay O*121462218235</t>
  </si>
  <si>
    <t>SQ *COLETTE BAKERY  MELR</t>
  </si>
  <si>
    <t>LYFT   *1 RIDE 0426</t>
  </si>
  <si>
    <t>EBAY O*191445017916</t>
  </si>
  <si>
    <t>EBAY O*111441575628</t>
  </si>
  <si>
    <t>TST* JUST SALAD  FORT PO</t>
  </si>
  <si>
    <t>LYFT   *1 RIDE 0314</t>
  </si>
  <si>
    <t>LYFT   *1 RIDE 0224</t>
  </si>
  <si>
    <t>ENTERPRISE RENTACAR</t>
  </si>
  <si>
    <t>TST*REVIVAL CAFE  NECCO</t>
  </si>
  <si>
    <t>eBay O*191420697347</t>
  </si>
  <si>
    <t>DOORDASH*02/012 ORDER</t>
  </si>
  <si>
    <t>eBay O*151417230247</t>
  </si>
  <si>
    <t>Credit Card Annual Fees</t>
  </si>
  <si>
    <t>Etsy Payout</t>
  </si>
  <si>
    <t>Leader Bank</t>
  </si>
  <si>
    <t>E-ZPass MA       8776277745                 WEB ID: 0007308013</t>
  </si>
  <si>
    <t>VENMO            CASHOUT                    PPD ID: 5264681992</t>
  </si>
  <si>
    <t>Businessolver    5638       MyChoiceAccount WEB ID: 2987243783</t>
  </si>
  <si>
    <t>VENMO            PAYMENT    1051149922013   WEB ID: 3264681992</t>
  </si>
  <si>
    <t>VENMO            PAYMENT    1050573652136   WEB ID: 3264681992</t>
  </si>
  <si>
    <t>ETSY, INC.       PAYOUT                     PPD ID: 1357612331</t>
  </si>
  <si>
    <t>VENMO            PAYMENT    1050338431729   WEB ID: 3264681992</t>
  </si>
  <si>
    <t>VENMO            PAYMENT    1049738314180   WEB ID: 3264681992</t>
  </si>
  <si>
    <t>VENMO            PAYMENT    1049738168149   WEB ID: 3264681992</t>
  </si>
  <si>
    <t>VENMO            PAYMENT    1049607589670   WEB ID: 3264681992</t>
  </si>
  <si>
    <t>VENMO            PAYMENT    1049499337620   WEB ID: 3264681992</t>
  </si>
  <si>
    <t>VENMO            PAYMENT    1049494176041   WEB ID: 3264681992</t>
  </si>
  <si>
    <t>Zelle payment from SHELLY STONE CTIIg2wkXi3W</t>
  </si>
  <si>
    <t>VENMO            PAYMENT    1049318053079   WEB ID: 3264681992</t>
  </si>
  <si>
    <t>MALDEN MA CLERK  MALDEN MA                  WEB ID: 1223755714</t>
  </si>
  <si>
    <t>VENMO            PAYMENT    1049248916663   WEB ID: 3264681992</t>
  </si>
  <si>
    <t>VENMO            PAYMENT    1049227604170   WEB ID: 3264681992</t>
  </si>
  <si>
    <t>#ZXK Etsy        ACCTVERIFY                 PPD ID: 1460820571</t>
  </si>
  <si>
    <t>Zelle payment from WILLIAM AJEMIAN BACaceamisb2</t>
  </si>
  <si>
    <t>VENMO            PAYMENT    1049053140307   WEB ID: 3264681992</t>
  </si>
  <si>
    <t>VENMO            PAYMENT    1048961322724   WEB ID: 3264681992</t>
  </si>
  <si>
    <t>VENMO            PAYMENT    1048961318371   WEB ID: 3264681992</t>
  </si>
  <si>
    <t>VENMO            PAYMENT    1048542531408   WEB ID: 3264681992</t>
  </si>
  <si>
    <t>VENMO            PAYMENT    1048464282742   WEB ID: 3264681992</t>
  </si>
  <si>
    <t>VENMO            PAYMENT    1048467652085   WEB ID: 3264681992</t>
  </si>
  <si>
    <t>VENMO            PAYMENT    1048464282543   WEB ID: 3264681992</t>
  </si>
  <si>
    <t>VENMO            PAYMENT    1047975382330   WEB ID: 3264681992</t>
  </si>
  <si>
    <t>VENMO            PAYMENT    1047959007860   WEB ID: 3264681992</t>
  </si>
  <si>
    <t>VENMO            PAYMENT    1047940377661   WEB ID: 3264681992</t>
  </si>
  <si>
    <t>VENMO            PAYMENT    1047864911858   WEB ID: 3264681992</t>
  </si>
  <si>
    <t>eBay ComETG1F01H PAYMENTS   RKPPGOBS2CTLZ2D WEB ID: 1395398000</t>
  </si>
  <si>
    <t>VENMO            PAYMENT    1047706456527   WEB ID: 3264681992</t>
  </si>
  <si>
    <t>Businessolver    2          MyChoiceAccount WEB ID: 2987243783</t>
  </si>
  <si>
    <t>DUNKIN' MOBILE      CANTON              MA</t>
  </si>
  <si>
    <t>GOOGLE *YOUTUBE TV   G.CO/HELPPAY#      CA</t>
  </si>
  <si>
    <t>LUNCHDROP           LUNCHDROP.COM       NY</t>
  </si>
  <si>
    <t>AplPay TST* FUJI AT SOMERVILLE          MA</t>
  </si>
  <si>
    <t>METROPOLIS PARKING  NASHVILLE           TN</t>
  </si>
  <si>
    <t>DIGITAL TAX SOLUTIONKANSAS CITY         MO</t>
  </si>
  <si>
    <t>KBJ4:0001 200.00 credit</t>
  </si>
  <si>
    <t>AplPay STOP &amp; SHOP  MALDEN              MA</t>
  </si>
  <si>
    <t>CHIPOTLE 0870 0870  MEDFORD             MA</t>
  </si>
  <si>
    <t>PAYMENTUS-SERVICE-FE800-420-1663        GA</t>
  </si>
  <si>
    <t>WM BAGSTER          866-909-4458        TX</t>
  </si>
  <si>
    <t>AplPay MARKET BASKETREVERE              MA</t>
  </si>
  <si>
    <t>AplPay MOI BOSTON*MOBOSTON              MA</t>
  </si>
  <si>
    <t>GOOGLE *SERVICES    MOUNTAIN VIEW</t>
  </si>
  <si>
    <t>MBTA NORTH STATN 000BOSTON              MA</t>
  </si>
  <si>
    <t>TST* TONY AND ELAINEBOSTON              MA</t>
  </si>
  <si>
    <t>LUXURY BOXX-MIXX 360MALDEN              MA</t>
  </si>
  <si>
    <t>MARKET BASKET 000745REVERE              MA</t>
  </si>
  <si>
    <t>MOI BOSTON*MOI BOSTOBOSTON              MA</t>
  </si>
  <si>
    <t>AplPay STOP &amp; SHOP  REVERE              MA</t>
  </si>
  <si>
    <t>91691  JACKSON STREEMALDEN              MA</t>
  </si>
  <si>
    <t>TST* THAIGER DEN 002MALDEN              MA</t>
  </si>
  <si>
    <t>EMPIRE TEA &amp; COFFEE Newport             RI</t>
  </si>
  <si>
    <t>RHODE ISLAND REEF   Newport             RI</t>
  </si>
  <si>
    <t>POINTS FOR STATEMENT CREDIT</t>
  </si>
  <si>
    <t>SANTA FE BURRITO GRIMALDEN              MA</t>
  </si>
  <si>
    <t>AplPay DUNKIN' MOBILCANTON              MA</t>
  </si>
  <si>
    <t>PAUL'S FOREIGN AUTO MALDEN              MA</t>
  </si>
  <si>
    <t>SUNDAY RIVER F &amp; B 0NEWRY               ME</t>
  </si>
  <si>
    <t>CHIPOTLE 1243 1243  SAUGUS              MA</t>
  </si>
  <si>
    <t>DUNKIN #349986 Q35 3MALDEN              MA</t>
  </si>
  <si>
    <t>FIVE BELOW 403 00000SAUGUS              MA</t>
  </si>
  <si>
    <t>MARKET BASKET 000752BIDDEFORD           ME</t>
  </si>
  <si>
    <t>AMEX RESY CREDIT</t>
  </si>
  <si>
    <t>AplPay VICTORIA HILLMELROSE             MA</t>
  </si>
  <si>
    <t>AplPay LANDSEND.COM 800-332-4700        WI</t>
  </si>
  <si>
    <t>SPI*NATIONAL GRID 01WALTHAM             MA</t>
  </si>
  <si>
    <t>SPI*NATIONAL GRID 05WALTHAM             MA</t>
  </si>
  <si>
    <t>AplPay JERSEY MIKES MANASQUAN           NJ</t>
  </si>
  <si>
    <t>BLACK MOUNTAIN SKI A603-3834490         NH</t>
  </si>
  <si>
    <t>AplPay CVS/PHARMACY BOSTON              MA</t>
  </si>
  <si>
    <t>AplPay TRADER JOE S BOSTON              MA</t>
  </si>
  <si>
    <t>CVS/PHARMACY #08906 MALDEN              MA</t>
  </si>
  <si>
    <t>Taxes</t>
  </si>
  <si>
    <t>Ulta</t>
  </si>
  <si>
    <t>ChatbotAI</t>
  </si>
  <si>
    <t>BUFFS PUB</t>
  </si>
  <si>
    <t>Laz Parking</t>
  </si>
  <si>
    <t>EVERYTHING BAGEL WALP</t>
  </si>
  <si>
    <t>YoutubeTV</t>
  </si>
  <si>
    <t>ALIPAY US, INC.</t>
  </si>
  <si>
    <t>eBay O*02-14731-02149</t>
  </si>
  <si>
    <t>91691  JACKSON STREET</t>
  </si>
  <si>
    <t>TOWN LINE LUXURY LANES</t>
  </si>
  <si>
    <t>HILLSIDE AUTO REPAIR I</t>
  </si>
  <si>
    <t>SQ *LASH LASH MAMA</t>
  </si>
  <si>
    <t>BARCELONA CAMBRIDGE</t>
  </si>
  <si>
    <t>TST* DCA REAGAN - CAVA</t>
  </si>
  <si>
    <t>SQ *IMPROV ASYLUM</t>
  </si>
  <si>
    <t>TST* ACME BAR &amp; GRILL</t>
  </si>
  <si>
    <t>SQ *RISE UP COFFEE - M</t>
  </si>
  <si>
    <t>WHOLEFDS MLR #10510</t>
  </si>
  <si>
    <t>DUNKIN #349986 Q35</t>
  </si>
  <si>
    <t>TST* CHEVALIER THEATRE</t>
  </si>
  <si>
    <t>STOP &amp; SHOP 0043</t>
  </si>
  <si>
    <t>TIKTOK SHOP</t>
  </si>
  <si>
    <t>CAPITAL ONE MEMBER FEE</t>
  </si>
  <si>
    <t>ALTA VIA MARKET SQUARE</t>
  </si>
  <si>
    <t>TST*FALLS MARKET RESTAUR</t>
  </si>
  <si>
    <t>−$4.24</t>
  </si>
  <si>
    <t>−$0.54</t>
  </si>
  <si>
    <t>FALLS MARKET RESTAUR</t>
  </si>
  <si>
    <t>Laurel Caverns</t>
  </si>
  <si>
    <t>Walmart Supercenter</t>
  </si>
  <si>
    <t>Chipotle Mexican Grill</t>
  </si>
  <si>
    <t>GOODMANS DELI</t>
  </si>
  <si>
    <t>Walmart</t>
  </si>
  <si>
    <t>Metropolis</t>
  </si>
  <si>
    <t>CAVA DANBURY CT</t>
  </si>
  <si>
    <t>Aramark</t>
  </si>
  <si>
    <t>Diandra</t>
  </si>
  <si>
    <t>Buccieri's Pizzeria, JOHN WALSH</t>
  </si>
  <si>
    <t>Zuru Zuru</t>
  </si>
  <si>
    <t>Alexander Liquors</t>
  </si>
  <si>
    <t>Jitters Cafe</t>
  </si>
  <si>
    <t>SALTMERE BODY</t>
  </si>
  <si>
    <t>CITY MALDEN PARKING</t>
  </si>
  <si>
    <t>DoorDash, DD DOORDASH TUYYO</t>
  </si>
  <si>
    <t>Flash Fitness Beverly</t>
  </si>
  <si>
    <t>Amazon.com - Joycons</t>
  </si>
  <si>
    <t>Amazon Marketplace - Joycon shells</t>
  </si>
  <si>
    <t>Amazon Marketplace-  Rain Jacket</t>
  </si>
  <si>
    <t>PA Trip</t>
  </si>
  <si>
    <t>Venmo - Restaurants</t>
  </si>
  <si>
    <t>Venmo - Narragansett Restaurant</t>
  </si>
  <si>
    <t xml:space="preserve">Total </t>
  </si>
  <si>
    <t>Oil</t>
  </si>
  <si>
    <t>Kappy's</t>
  </si>
  <si>
    <t>Flash Fitness Medford</t>
  </si>
  <si>
    <t>UNI, JOHN WALSH</t>
  </si>
  <si>
    <t>Venmo - Drinks</t>
  </si>
  <si>
    <t>Holiday Inn</t>
  </si>
  <si>
    <t>McGovern Honda</t>
  </si>
  <si>
    <t>Friendly Fuel</t>
  </si>
  <si>
    <t>Burren</t>
  </si>
  <si>
    <t>Last Statement balance</t>
  </si>
  <si>
    <t>Capital One Travel - PA Hotel</t>
  </si>
  <si>
    <t>Five Elements - Farmers Market</t>
  </si>
  <si>
    <t>Chili's</t>
  </si>
  <si>
    <t>BP</t>
  </si>
  <si>
    <t>TOASTED BAGEL PATC</t>
  </si>
  <si>
    <t>OUR BLUE POINT WINE AND</t>
  </si>
  <si>
    <t>Businessolver    5638       MyChoiceAccount</t>
  </si>
  <si>
    <t>Venmo - Subscriptions</t>
  </si>
  <si>
    <t>Vending Machine</t>
  </si>
  <si>
    <t>Yearly</t>
  </si>
  <si>
    <t>Car Repairs</t>
  </si>
  <si>
    <t>Blisspoint</t>
  </si>
  <si>
    <t>Guru the Caterer</t>
  </si>
  <si>
    <t>Blue Point Wine</t>
  </si>
  <si>
    <t>Long Island</t>
  </si>
  <si>
    <t>Airbnb for Denver</t>
  </si>
  <si>
    <t>WL *Steam Purchase</t>
  </si>
  <si>
    <t>EXXON FAZIO ENTERPRISE</t>
  </si>
  <si>
    <t>BUCCIERI S PIZZERIA</t>
  </si>
  <si>
    <t>CHIPOTLE 1243</t>
  </si>
  <si>
    <t>TST*DEEP CUTS</t>
  </si>
  <si>
    <t>AMC 9640 ONLINE</t>
  </si>
  <si>
    <t>FIVE BELOW 403</t>
  </si>
  <si>
    <t>AUTOZONE #5136</t>
  </si>
  <si>
    <t>NORTHEAST OIL DELIVERY IN</t>
  </si>
  <si>
    <t>DUNKIN #303479 Q35</t>
  </si>
  <si>
    <t>CIRCLE K 07005</t>
  </si>
  <si>
    <t>HANNAFORD IND 08826</t>
  </si>
  <si>
    <t>SUGARLOAF RESORT</t>
  </si>
  <si>
    <t>P AND C MARKET AND CARIBB</t>
  </si>
  <si>
    <t>CVS/PHARMACY #05926</t>
  </si>
  <si>
    <t>CASTLE BAY</t>
  </si>
  <si>
    <t>HISTORIC INNS OF ANNAPOLI</t>
  </si>
  <si>
    <t>Nintendo CA1576757666</t>
  </si>
  <si>
    <t>DUNKIN DONUTS WASHINGT</t>
  </si>
  <si>
    <t>THE POINT</t>
  </si>
  <si>
    <t>MARSHALLS #0427</t>
  </si>
  <si>
    <t>SUNOCO 0492129200</t>
  </si>
  <si>
    <t>BUCCIERIS PIZZERIA</t>
  </si>
  <si>
    <t>AWOO PETS</t>
  </si>
  <si>
    <t>SQ *CUSTOM HOUSE COFFEE</t>
  </si>
  <si>
    <t>KING PETROLEUM EASTERN</t>
  </si>
  <si>
    <t>TOWN LINE PAINT</t>
  </si>
  <si>
    <t>KELLEY &amp;amp; RYAN ASSOCIATES</t>
  </si>
  <si>
    <t>Savings Potential Monthly</t>
  </si>
  <si>
    <t>Savings Potential Yearly</t>
  </si>
  <si>
    <t>Budget Monthly</t>
  </si>
  <si>
    <t>Sum of Yearly Spending</t>
  </si>
  <si>
    <t>Months Left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</si>
</sst>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-409]d\-mmm;@"/>
    <numFmt numFmtId="166" formatCode="[$-409]d\-mmm\-yy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Dashed">
        <color rgb="FF7687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16" fontId="0" fillId="0" borderId="0" xfId="0" applyNumberFormat="1"/>
    <xf numFmtId="44" fontId="0" fillId="0" borderId="0" xfId="1" applyFont="1"/>
    <xf numFmtId="14" fontId="0" fillId="0" borderId="0" xfId="0" applyNumberFormat="1"/>
    <xf numFmtId="8" fontId="0" fillId="0" borderId="0" xfId="0" applyNumberFormat="1"/>
    <xf numFmtId="164" fontId="1" fillId="0" borderId="0" xfId="1" applyNumberFormat="1" applyFont="1" applyAlignment="1">
      <alignment horizontal="right"/>
    </xf>
    <xf numFmtId="0" fontId="0" fillId="0" borderId="13" xfId="0" applyBorder="1"/>
    <xf numFmtId="164" fontId="1" fillId="0" borderId="0" xfId="1" applyNumberFormat="1" applyFont="1" applyFill="1" applyAlignment="1">
      <alignment horizontal="right"/>
    </xf>
    <xf numFmtId="164" fontId="0" fillId="0" borderId="13" xfId="1" applyNumberFormat="1" applyFont="1" applyFill="1" applyBorder="1" applyAlignment="1">
      <alignment horizontal="right"/>
    </xf>
    <xf numFmtId="14" fontId="0" fillId="0" borderId="13" xfId="0" applyNumberFormat="1" applyBorder="1"/>
    <xf numFmtId="0" fontId="0" fillId="0" borderId="14" xfId="0" applyBorder="1"/>
    <xf numFmtId="0" fontId="0" fillId="0" borderId="15" xfId="0" applyBorder="1"/>
    <xf numFmtId="164" fontId="1" fillId="0" borderId="14" xfId="1" applyNumberFormat="1" applyFont="1" applyFill="1" applyBorder="1" applyAlignment="1">
      <alignment horizontal="right"/>
    </xf>
    <xf numFmtId="14" fontId="0" fillId="0" borderId="14" xfId="0" applyNumberFormat="1" applyBorder="1"/>
    <xf numFmtId="164" fontId="0" fillId="0" borderId="0" xfId="1" applyNumberFormat="1" applyFont="1" applyFill="1" applyAlignment="1">
      <alignment horizontal="right"/>
    </xf>
    <xf numFmtId="164" fontId="1" fillId="0" borderId="0" xfId="1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1" applyNumberFormat="1" applyFont="1" applyFill="1" applyBorder="1" applyAlignment="1">
      <alignment horizontal="right"/>
    </xf>
    <xf numFmtId="44" fontId="0" fillId="0" borderId="0" xfId="1" applyFont="1" applyFill="1" applyBorder="1"/>
    <xf numFmtId="164" fontId="0" fillId="0" borderId="0" xfId="1" applyNumberFormat="1" applyFont="1" applyFill="1" applyBorder="1" applyAlignment="1">
      <alignment horizontal="right" wrapText="1"/>
    </xf>
    <xf numFmtId="164" fontId="1" fillId="0" borderId="13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4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18" fillId="0" borderId="0" xfId="0" applyFont="1" applyAlignment="1">
      <alignment horizontal="right" wrapText="1"/>
    </xf>
    <xf numFmtId="44" fontId="0" fillId="0" borderId="0" xfId="1" applyFont="1" applyFill="1" applyBorder="1" applyAlignment="1">
      <alignment horizontal="right"/>
    </xf>
    <xf numFmtId="14" fontId="0" fillId="0" borderId="0" xfId="1" applyNumberFormat="1" applyFont="1" applyFill="1" applyBorder="1" applyAlignment="1">
      <alignment horizontal="right"/>
    </xf>
    <xf numFmtId="44" fontId="0" fillId="0" borderId="0" xfId="1" applyFont="1" applyBorder="1" applyAlignment="1">
      <alignment horizontal="right"/>
    </xf>
    <xf numFmtId="44" fontId="0" fillId="0" borderId="0" xfId="1" applyFont="1" applyAlignment="1">
      <alignment horizontal="right"/>
    </xf>
    <xf numFmtId="0" fontId="0" fillId="0" borderId="14" xfId="0" applyBorder="1" applyAlignment="1">
      <alignment horizontal="right"/>
    </xf>
    <xf numFmtId="14" fontId="0" fillId="0" borderId="0" xfId="1" applyNumberFormat="1" applyFont="1" applyAlignment="1">
      <alignment horizontal="right"/>
    </xf>
    <xf numFmtId="44" fontId="0" fillId="0" borderId="0" xfId="1" applyFont="1" applyFill="1" applyAlignment="1">
      <alignment horizontal="right"/>
    </xf>
    <xf numFmtId="44" fontId="18" fillId="0" borderId="0" xfId="1" applyFont="1" applyBorder="1" applyAlignment="1">
      <alignment horizontal="right" wrapText="1"/>
    </xf>
    <xf numFmtId="44" fontId="18" fillId="0" borderId="0" xfId="1" applyFont="1" applyFill="1" applyBorder="1" applyAlignment="1">
      <alignment horizontal="right"/>
    </xf>
    <xf numFmtId="165" fontId="0" fillId="0" borderId="0" xfId="0" applyNumberFormat="1"/>
    <xf numFmtId="44" fontId="0" fillId="0" borderId="0" xfId="1" applyFont="1" applyFill="1" applyBorder="1" applyAlignment="1">
      <alignment horizontal="right" wrapText="1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18" fillId="0" borderId="0" xfId="0" applyNumberFormat="1" applyFont="1" applyAlignment="1">
      <alignment horizontal="right" wrapText="1"/>
    </xf>
    <xf numFmtId="164" fontId="0" fillId="0" borderId="10" xfId="1" applyNumberFormat="1" applyFont="1" applyFill="1" applyBorder="1" applyAlignment="1">
      <alignment horizontal="right"/>
    </xf>
    <xf numFmtId="3" fontId="0" fillId="0" borderId="0" xfId="0" applyNumberFormat="1"/>
    <xf numFmtId="44" fontId="0" fillId="0" borderId="0" xfId="1" applyFont="1" applyBorder="1"/>
    <xf numFmtId="14" fontId="0" fillId="0" borderId="0" xfId="1" applyNumberFormat="1" applyFont="1" applyFill="1" applyAlignment="1">
      <alignment horizontal="right"/>
    </xf>
    <xf numFmtId="14" fontId="0" fillId="0" borderId="13" xfId="1" applyNumberFormat="1" applyFont="1" applyFill="1" applyBorder="1" applyAlignment="1">
      <alignment horizontal="right"/>
    </xf>
    <xf numFmtId="14" fontId="0" fillId="0" borderId="14" xfId="1" applyNumberFormat="1" applyFont="1" applyFill="1" applyBorder="1" applyAlignment="1">
      <alignment horizontal="right"/>
    </xf>
    <xf numFmtId="164" fontId="1" fillId="0" borderId="12" xfId="1" applyNumberFormat="1" applyFont="1" applyFill="1" applyBorder="1" applyAlignment="1">
      <alignment horizontal="right"/>
    </xf>
    <xf numFmtId="44" fontId="0" fillId="0" borderId="14" xfId="1" applyFont="1" applyBorder="1" applyAlignment="1">
      <alignment horizontal="right"/>
    </xf>
    <xf numFmtId="166" fontId="0" fillId="0" borderId="14" xfId="0" applyNumberFormat="1" applyBorder="1" applyAlignment="1">
      <alignment horizontal="right"/>
    </xf>
    <xf numFmtId="164" fontId="1" fillId="0" borderId="0" xfId="1" applyNumberFormat="1" applyFont="1" applyFill="1" applyAlignment="1">
      <alignment horizontal="left"/>
    </xf>
    <xf numFmtId="0" fontId="18" fillId="0" borderId="0" xfId="0" applyFont="1" applyAlignment="1">
      <alignment horizontal="left" wrapText="1"/>
    </xf>
    <xf numFmtId="0" fontId="0" fillId="0" borderId="12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44" fontId="0" fillId="0" borderId="11" xfId="1" applyFont="1" applyBorder="1" applyAlignment="1">
      <alignment horizontal="right"/>
    </xf>
    <xf numFmtId="44" fontId="0" fillId="0" borderId="16" xfId="1" applyFont="1" applyBorder="1" applyAlignment="1">
      <alignment horizontal="right"/>
    </xf>
    <xf numFmtId="0" fontId="0" fillId="33" borderId="0" xfId="0" applyFill="1" applyAlignment="1">
      <alignment horizontal="right"/>
    </xf>
    <xf numFmtId="8" fontId="0" fillId="0" borderId="0" xfId="0" applyNumberFormat="1" applyAlignment="1">
      <alignment horizontal="right"/>
    </xf>
    <xf numFmtId="8" fontId="0" fillId="0" borderId="0" xfId="1" applyNumberFormat="1" applyFont="1" applyAlignment="1">
      <alignment horizontal="right"/>
    </xf>
    <xf numFmtId="8" fontId="0" fillId="34" borderId="0" xfId="0" applyNumberFormat="1" applyFill="1" applyAlignment="1">
      <alignment horizontal="right"/>
    </xf>
    <xf numFmtId="0" fontId="16" fillId="0" borderId="0" xfId="0" applyFont="1"/>
    <xf numFmtId="44" fontId="0" fillId="0" borderId="0" xfId="0" applyNumberFormat="1"/>
    <xf numFmtId="44" fontId="16" fillId="0" borderId="0" xfId="1" applyFont="1"/>
    <xf numFmtId="44" fontId="16" fillId="0" borderId="0" xfId="0" applyNumberFormat="1" applyFont="1"/>
    <xf numFmtId="9" fontId="0" fillId="0" borderId="0" xfId="44" applyFont="1"/>
    <xf numFmtId="9" fontId="16" fillId="0" borderId="0" xfId="44" applyFont="1"/>
    <xf numFmtId="44" fontId="1" fillId="0" borderId="0" xfId="1" applyFont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585F9644-E179-4438-BF99-0DAF611365D1}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21" formatCode="d\-mmm"/>
    </dxf>
    <dxf>
      <numFmt numFmtId="166" formatCode="[$-409]d\-mmm\-yy;@"/>
    </dxf>
    <dxf>
      <numFmt numFmtId="19" formatCode="m/d/yyyy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.00"/>
      <fill>
        <patternFill patternType="none">
          <bgColor auto="1"/>
        </patternFill>
      </fill>
      <alignment horizontal="right" textRotation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9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rinne Ajemian" id="{ED490C5D-6C45-4766-BEDF-A64D2FDDCAF8}" userId="c03bad809d35ce0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03087E-D47E-49B0-AE91-18DED2C9B017}" name="Table2" displayName="Table2" ref="A1:G10" totalsRowShown="0">
  <autoFilter ref="A1:G10" xr:uid="{BB03087E-D47E-49B0-AE91-18DED2C9B017}"/>
  <sortState xmlns:xlrd2="http://schemas.microsoft.com/office/spreadsheetml/2017/richdata2" ref="A2:G10">
    <sortCondition ref="F1:F10"/>
  </sortState>
  <tableColumns count="7">
    <tableColumn id="1" xr3:uid="{9F4709CC-D80E-4DEC-B4E6-C841B7E57D95}" name="Provider"/>
    <tableColumn id="2" xr3:uid="{7B6172EB-EA40-40E1-8A36-D1F7A11B0EC7}" name="Type"/>
    <tableColumn id="3" xr3:uid="{8DC7B742-5620-4A49-89A4-B7FCEAD783EC}" name="Account"/>
    <tableColumn id="4" xr3:uid="{41AAE656-2367-4CDE-BB78-48D36D4E1F34}" name="Total" dataDxfId="17" dataCellStyle="Currency"/>
    <tableColumn id="5" xr3:uid="{5D0C7345-42EE-45EB-8472-CB820354C95E}" name="Last Statement balance" dataDxfId="16" dataCellStyle="Currency"/>
    <tableColumn id="6" xr3:uid="{147FDB27-6D9B-4E6F-805C-82A68329A7E3}" name="Owner"/>
    <tableColumn id="7" xr3:uid="{7EFFCC8F-10FE-4CF6-A8EB-0697911A0C99}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99729-A5A2-4C2D-B270-4F6220741D23}" name="Table1" displayName="Table1" ref="A1:F953" totalsRowShown="0" headerRowDxfId="15" dataDxfId="14">
  <autoFilter ref="A1:F953" xr:uid="{EDF99729-A5A2-4C2D-B270-4F6220741D23}">
    <filterColumn colId="2">
      <filters blank="1">
        <dateGroupItem year="2026" month="8" dateTimeGrouping="month"/>
        <dateGroupItem year="2026" month="9" dateTimeGrouping="month"/>
        <dateGroupItem year="2026" month="10" dateTimeGrouping="month"/>
      </filters>
    </filterColumn>
  </autoFilter>
  <sortState xmlns:xlrd2="http://schemas.microsoft.com/office/spreadsheetml/2017/richdata2" ref="A523:F932">
    <sortCondition ref="D1:D952"/>
  </sortState>
  <tableColumns count="6">
    <tableColumn id="5" xr3:uid="{D53F3EC4-4A54-47BB-8C6A-EE208359AA81}" name="Plan Ahead" dataDxfId="13"/>
    <tableColumn id="6" xr3:uid="{447B3173-DCB0-4A85-B850-66F14B19EE74}" name="Account" dataDxfId="12"/>
    <tableColumn id="8" xr3:uid="{3899827C-73E8-43E5-BF4B-A9C12ECF54FD}" name="Date" dataDxfId="11" dataCellStyle="Currency"/>
    <tableColumn id="9" xr3:uid="{0DE54183-7902-45A3-AA31-A84429A1DE8B}" name="Transaction " dataDxfId="10" dataCellStyle="Currency"/>
    <tableColumn id="1" xr3:uid="{D335B238-78EF-448C-BE9D-51728FCF2219}" name="Category" dataDxfId="9"/>
    <tableColumn id="3" xr3:uid="{81214F69-9F4E-4F25-9375-F88DB68CC0E8}" name="Total" dataDxfId="8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14870E-1845-4A33-A26B-0AF450E5E89B}" name="Table4" displayName="Table4" ref="A1:E52" totalsRowShown="0" dataDxfId="7">
  <autoFilter ref="A1:E52" xr:uid="{0B14870E-1845-4A33-A26B-0AF450E5E89B}">
    <filterColumn colId="4">
      <filters>
        <dateGroupItem year="2026" month="8" dateTimeGrouping="month"/>
      </filters>
    </filterColumn>
  </autoFilter>
  <sortState xmlns:xlrd2="http://schemas.microsoft.com/office/spreadsheetml/2017/richdata2" ref="A34:E51">
    <sortCondition ref="E1:E51"/>
  </sortState>
  <tableColumns count="5">
    <tableColumn id="5" xr3:uid="{F5341C84-EDC4-4878-94C4-E3BF42C07F6E}" name="Plan Ahead" dataDxfId="6"/>
    <tableColumn id="1" xr3:uid="{8B0EBB58-117C-42D4-B99B-8EB3DD344307}" name="Category" dataDxfId="5"/>
    <tableColumn id="2" xr3:uid="{9B2EE0A0-0B09-4DF5-A592-C7CCEB102E25}" name="Transaction " dataDxfId="4"/>
    <tableColumn id="3" xr3:uid="{A570EA33-B55B-4E7C-B3EA-AA288995297B}" name="Total" dataDxfId="3" dataCellStyle="Currency"/>
    <tableColumn id="4" xr3:uid="{1E70A12E-7FA5-4B79-B9ED-7DF5AA740C3C}" name="Date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ABE254-F97F-4234-B064-3D1C13DEDFFA}" name="Table3" displayName="Table3" ref="A1:G262" totalsRowCount="1">
  <autoFilter ref="A1:G261" xr:uid="{8BABE254-F97F-4234-B064-3D1C13DEDFFA}">
    <filterColumn colId="5">
      <filters>
        <dateGroupItem year="2026" month="8" dateTimeGrouping="month"/>
      </filters>
    </filterColumn>
  </autoFilter>
  <sortState xmlns:xlrd2="http://schemas.microsoft.com/office/spreadsheetml/2017/richdata2" ref="A2:G196">
    <sortCondition ref="F1:F196"/>
  </sortState>
  <tableColumns count="7">
    <tableColumn id="5" xr3:uid="{8DEF21ED-7BAB-4827-9F40-D40EB019D78B}" name="Plan Ahead" totalsRowLabel="Total"/>
    <tableColumn id="7" xr3:uid="{B1DBF182-11E9-4A7C-8B6F-68CADE3674C0}" name="Account"/>
    <tableColumn id="1" xr3:uid="{B0B89940-73E6-4CB4-997F-C8629FAC8A03}" name="Category"/>
    <tableColumn id="2" xr3:uid="{21F7FA52-9185-4A9D-B36E-3FCC440D0164}" name="Transaction "/>
    <tableColumn id="3" xr3:uid="{C80D0DB4-A205-48B5-BDAC-0062AA3F9EAB}" name="Total" dataCellStyle="Currency"/>
    <tableColumn id="4" xr3:uid="{A83398A7-1CF5-4F3A-8AF0-2EDC832D59CB}" name="Date" dataDxfId="1" totalsRowDxfId="0"/>
    <tableColumn id="6" xr3:uid="{C873C5D7-8327-41BE-89E3-59DB3ED7BE0D}" name="Column1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8-10T00:29:18.28" personId="{ED490C5D-6C45-4766-BEDF-A64D2FDDCAF8}" id="{5F53A151-1BE4-4181-BBD0-6F7B1204AD36}">
    <text>= -total made so far - total estimated left to make</text>
  </threadedComment>
  <threadedComment ref="H3" dT="2026-08-10T00:29:18.28" personId="{ED490C5D-6C45-4766-BEDF-A64D2FDDCAF8}" id="{7FC0A249-3056-463C-81E4-599CE5394025}">
    <text>= -total made so far - total estimated left to make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7BF1B8-E049-46C7-9156-E055DD093D95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0944ab8-9645-4c0d-9305-1133143e5ec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0853-D30E-4D6C-995E-976A2930B705}">
  <dimension ref="A1:I36"/>
  <sheetViews>
    <sheetView tabSelected="1" workbookViewId="0">
      <selection activeCell="A6" sqref="A6:A11"/>
    </sheetView>
    <sheetView tabSelected="1" workbookViewId="1">
      <selection activeCell="H23" sqref="H23"/>
    </sheetView>
  </sheetViews>
  <sheetFormatPr defaultRowHeight="15" x14ac:dyDescent="0.25"/>
  <cols>
    <col min="1" max="1" width="25.7109375" customWidth="1"/>
    <col min="2" max="2" width="17.28515625" customWidth="1"/>
    <col min="3" max="3" width="24.5703125" customWidth="1"/>
    <col min="4" max="4" width="18" customWidth="1"/>
    <col min="6" max="6" width="19.28515625" customWidth="1"/>
    <col min="7" max="7" width="18.28515625" customWidth="1"/>
    <col min="8" max="8" width="21.140625" customWidth="1"/>
  </cols>
  <sheetData>
    <row r="1" spans="1:9" x14ac:dyDescent="0.25">
      <c r="A1" s="60" t="s">
        <v>0</v>
      </c>
      <c r="B1" s="60" t="s">
        <v>620</v>
      </c>
      <c r="C1" s="60"/>
      <c r="D1" s="60" t="s">
        <v>583</v>
      </c>
      <c r="G1" s="60"/>
      <c r="H1" s="60" t="s">
        <v>622</v>
      </c>
      <c r="I1">
        <v>5</v>
      </c>
    </row>
    <row r="2" spans="1:9" x14ac:dyDescent="0.25">
      <c r="A2" t="s">
        <v>2</v>
      </c>
      <c r="B2" s="2">
        <v>1380</v>
      </c>
      <c r="C2" s="2"/>
      <c r="D2" s="2">
        <f>-80000-29841.1</f>
        <v>-109841.1</v>
      </c>
      <c r="G2" s="2"/>
      <c r="H2" s="2">
        <f>-I1*3066.08*2</f>
        <v>-30660.799999999999</v>
      </c>
    </row>
    <row r="3" spans="1:9" x14ac:dyDescent="0.25">
      <c r="A3" t="s">
        <v>3</v>
      </c>
      <c r="B3" s="2">
        <v>1380</v>
      </c>
      <c r="C3" s="2"/>
      <c r="D3" s="2">
        <f>-50000-28240</f>
        <v>-78240</v>
      </c>
      <c r="G3" s="2"/>
      <c r="H3" s="2">
        <f>-1*(B2+B3+B4)*5</f>
        <v>-27490</v>
      </c>
    </row>
    <row r="4" spans="1:9" x14ac:dyDescent="0.25">
      <c r="A4" t="s">
        <v>4</v>
      </c>
      <c r="B4" s="2">
        <v>2738</v>
      </c>
      <c r="C4" s="2"/>
      <c r="D4" s="2"/>
      <c r="G4" s="2"/>
      <c r="H4" s="2"/>
    </row>
    <row r="5" spans="1:9" x14ac:dyDescent="0.25">
      <c r="B5" s="2"/>
      <c r="C5" s="2"/>
      <c r="G5" s="2"/>
    </row>
    <row r="6" spans="1:9" x14ac:dyDescent="0.25">
      <c r="A6" t="s">
        <v>338</v>
      </c>
      <c r="B6" s="2">
        <v>4100</v>
      </c>
      <c r="C6" s="2"/>
      <c r="D6" s="2">
        <f>B6*12</f>
        <v>49200</v>
      </c>
      <c r="E6" s="65">
        <f t="shared" ref="E6:E10" si="0">D6/($D$2+$D$3)</f>
        <v>-0.26158928249568936</v>
      </c>
      <c r="G6" s="2"/>
      <c r="H6" s="2">
        <f>B6*$I$1</f>
        <v>20500</v>
      </c>
      <c r="I6" s="65">
        <f t="shared" ref="I6:I10" si="1">H6/($D$2+$D$3)</f>
        <v>-0.1089955343732039</v>
      </c>
    </row>
    <row r="7" spans="1:9" x14ac:dyDescent="0.25">
      <c r="A7" t="s">
        <v>27</v>
      </c>
      <c r="B7" s="2">
        <f>D7/12</f>
        <v>708.33333333333337</v>
      </c>
      <c r="C7" s="2"/>
      <c r="D7" s="2">
        <v>8500</v>
      </c>
      <c r="E7" s="64">
        <f t="shared" si="0"/>
        <v>-4.5193270349865033E-2</v>
      </c>
      <c r="G7" s="2"/>
      <c r="H7" s="2">
        <v>2000</v>
      </c>
      <c r="I7" s="64">
        <f t="shared" si="1"/>
        <v>-1.0633710670556478E-2</v>
      </c>
    </row>
    <row r="8" spans="1:9" x14ac:dyDescent="0.25">
      <c r="A8" t="s">
        <v>268</v>
      </c>
      <c r="B8" s="2">
        <f>D8/12</f>
        <v>125</v>
      </c>
      <c r="C8" s="2"/>
      <c r="D8" s="2">
        <v>1500</v>
      </c>
      <c r="E8" s="64">
        <f t="shared" si="0"/>
        <v>-7.9752830029173587E-3</v>
      </c>
      <c r="G8" s="2"/>
      <c r="H8" s="2">
        <v>0</v>
      </c>
      <c r="I8" s="64">
        <f t="shared" si="1"/>
        <v>0</v>
      </c>
    </row>
    <row r="9" spans="1:9" x14ac:dyDescent="0.25">
      <c r="A9" t="s">
        <v>432</v>
      </c>
      <c r="B9" s="2">
        <f>D9/12</f>
        <v>76.833333333333329</v>
      </c>
      <c r="C9" s="2"/>
      <c r="D9" s="2">
        <v>922</v>
      </c>
      <c r="E9" s="64">
        <f t="shared" si="0"/>
        <v>-4.9021406191265366E-3</v>
      </c>
      <c r="G9" s="2"/>
      <c r="H9" s="2">
        <v>0</v>
      </c>
      <c r="I9" s="64">
        <f t="shared" si="1"/>
        <v>0</v>
      </c>
    </row>
    <row r="10" spans="1:9" x14ac:dyDescent="0.25">
      <c r="A10" t="s">
        <v>137</v>
      </c>
      <c r="B10" s="2">
        <f>D10/12</f>
        <v>210.08333333333334</v>
      </c>
      <c r="C10" s="2"/>
      <c r="D10" s="2">
        <v>2521</v>
      </c>
      <c r="E10" s="64">
        <f t="shared" si="0"/>
        <v>-1.3403792300236439E-2</v>
      </c>
      <c r="G10" s="2"/>
      <c r="H10" s="2">
        <v>0</v>
      </c>
      <c r="I10" s="64">
        <f t="shared" si="1"/>
        <v>0</v>
      </c>
    </row>
    <row r="11" spans="1:9" x14ac:dyDescent="0.25">
      <c r="A11" t="s">
        <v>511</v>
      </c>
      <c r="B11" s="2">
        <f>D11/12</f>
        <v>50.416666666666664</v>
      </c>
      <c r="C11" s="2"/>
      <c r="D11" s="61">
        <v>605</v>
      </c>
      <c r="E11" s="64">
        <f>D11/($D$2+$D$3)</f>
        <v>-3.2166974778433345E-3</v>
      </c>
      <c r="G11" s="2"/>
      <c r="H11" s="2">
        <v>0</v>
      </c>
      <c r="I11" s="64">
        <f>H11/($D$2+$D$3)</f>
        <v>0</v>
      </c>
    </row>
    <row r="12" spans="1:9" x14ac:dyDescent="0.25">
      <c r="B12" s="2"/>
      <c r="C12" s="2"/>
      <c r="D12" s="2"/>
      <c r="E12" s="64"/>
      <c r="G12" s="2"/>
      <c r="H12" s="2"/>
      <c r="I12" s="64"/>
    </row>
    <row r="13" spans="1:9" x14ac:dyDescent="0.25">
      <c r="A13" t="s">
        <v>5</v>
      </c>
      <c r="B13" s="2">
        <v>1400</v>
      </c>
      <c r="C13" s="2"/>
      <c r="D13" s="61">
        <f>B13*12</f>
        <v>16800</v>
      </c>
      <c r="E13" s="64">
        <f>D13/($D$2+$D$3)</f>
        <v>-8.9323169632674407E-2</v>
      </c>
      <c r="G13" s="2"/>
      <c r="H13" s="61">
        <f>B13*$I$1</f>
        <v>7000</v>
      </c>
      <c r="I13" s="64">
        <f>H13/($D$2+$D$3)</f>
        <v>-3.7217987346947673E-2</v>
      </c>
    </row>
    <row r="14" spans="1:9" x14ac:dyDescent="0.25">
      <c r="A14" t="s">
        <v>6</v>
      </c>
      <c r="B14" s="2">
        <v>800</v>
      </c>
      <c r="C14" s="2"/>
      <c r="D14" s="61">
        <f t="shared" ref="D14:D29" si="2">B14*12</f>
        <v>9600</v>
      </c>
      <c r="E14" s="64">
        <f>D14/($D$2+$D$3)</f>
        <v>-5.1041811218671095E-2</v>
      </c>
      <c r="G14" s="2"/>
      <c r="H14" s="61">
        <f t="shared" ref="H14:H29" si="3">B14*$I$1</f>
        <v>4000</v>
      </c>
      <c r="I14" s="64">
        <f>H14/($D$2+$D$3)</f>
        <v>-2.1267421341112955E-2</v>
      </c>
    </row>
    <row r="15" spans="1:9" x14ac:dyDescent="0.25">
      <c r="A15" t="s">
        <v>7</v>
      </c>
      <c r="B15" s="2">
        <v>400</v>
      </c>
      <c r="C15" s="2"/>
      <c r="D15" s="61">
        <f t="shared" si="2"/>
        <v>4800</v>
      </c>
      <c r="E15" s="64">
        <f t="shared" ref="E15:E29" si="4">D15/($D$2+$D$3)</f>
        <v>-2.5520905609335547E-2</v>
      </c>
      <c r="G15" s="2"/>
      <c r="H15" s="61">
        <f t="shared" si="3"/>
        <v>2000</v>
      </c>
      <c r="I15" s="64">
        <f t="shared" ref="I15:I29" si="5">H15/($D$2+$D$3)</f>
        <v>-1.0633710670556478E-2</v>
      </c>
    </row>
    <row r="16" spans="1:9" x14ac:dyDescent="0.25">
      <c r="A16" s="60" t="s">
        <v>8</v>
      </c>
      <c r="B16" s="62">
        <v>600</v>
      </c>
      <c r="C16" s="62"/>
      <c r="D16" s="63">
        <f t="shared" si="2"/>
        <v>7200</v>
      </c>
      <c r="E16" s="64">
        <f t="shared" si="4"/>
        <v>-3.8281358414003319E-2</v>
      </c>
      <c r="G16" s="62"/>
      <c r="H16" s="63">
        <f t="shared" si="3"/>
        <v>3000</v>
      </c>
      <c r="I16" s="64">
        <f t="shared" si="5"/>
        <v>-1.5950566005834717E-2</v>
      </c>
    </row>
    <row r="17" spans="1:9" x14ac:dyDescent="0.25">
      <c r="A17" s="60" t="s">
        <v>9</v>
      </c>
      <c r="B17" s="62">
        <v>600</v>
      </c>
      <c r="C17" s="62"/>
      <c r="D17" s="63">
        <f t="shared" si="2"/>
        <v>7200</v>
      </c>
      <c r="E17" s="64">
        <f t="shared" si="4"/>
        <v>-3.8281358414003319E-2</v>
      </c>
      <c r="G17" s="62"/>
      <c r="H17" s="61">
        <f t="shared" si="3"/>
        <v>3000</v>
      </c>
      <c r="I17" s="64">
        <f t="shared" si="5"/>
        <v>-1.5950566005834717E-2</v>
      </c>
    </row>
    <row r="18" spans="1:9" x14ac:dyDescent="0.25">
      <c r="A18" s="60" t="s">
        <v>10</v>
      </c>
      <c r="B18" s="62">
        <v>300</v>
      </c>
      <c r="C18" s="62"/>
      <c r="D18" s="63">
        <f t="shared" si="2"/>
        <v>3600</v>
      </c>
      <c r="E18" s="64">
        <f t="shared" si="4"/>
        <v>-1.914067920700166E-2</v>
      </c>
      <c r="G18" s="62"/>
      <c r="H18" s="61">
        <f t="shared" si="3"/>
        <v>1500</v>
      </c>
      <c r="I18" s="64">
        <f t="shared" si="5"/>
        <v>-7.9752830029173587E-3</v>
      </c>
    </row>
    <row r="19" spans="1:9" x14ac:dyDescent="0.25">
      <c r="A19" t="s">
        <v>11</v>
      </c>
      <c r="B19" s="66">
        <v>200</v>
      </c>
      <c r="C19" s="66"/>
      <c r="D19" s="61">
        <f t="shared" si="2"/>
        <v>2400</v>
      </c>
      <c r="E19" s="64">
        <f t="shared" si="4"/>
        <v>-1.2760452804667774E-2</v>
      </c>
      <c r="G19" s="66"/>
      <c r="H19" s="61">
        <f t="shared" si="3"/>
        <v>1000</v>
      </c>
      <c r="I19" s="64">
        <f t="shared" si="5"/>
        <v>-5.3168553352782389E-3</v>
      </c>
    </row>
    <row r="20" spans="1:9" x14ac:dyDescent="0.25">
      <c r="A20" s="60" t="s">
        <v>12</v>
      </c>
      <c r="B20" s="62">
        <v>130</v>
      </c>
      <c r="C20" s="62"/>
      <c r="D20" s="63">
        <f t="shared" si="2"/>
        <v>1560</v>
      </c>
      <c r="E20" s="64">
        <f t="shared" si="4"/>
        <v>-8.2942943230340533E-3</v>
      </c>
      <c r="G20" s="62"/>
      <c r="H20" s="61">
        <f t="shared" si="3"/>
        <v>650</v>
      </c>
      <c r="I20" s="64">
        <f t="shared" si="5"/>
        <v>-3.4559559679308554E-3</v>
      </c>
    </row>
    <row r="21" spans="1:9" x14ac:dyDescent="0.25">
      <c r="A21" s="60" t="s">
        <v>13</v>
      </c>
      <c r="B21" s="62">
        <v>150</v>
      </c>
      <c r="C21" s="62"/>
      <c r="D21" s="63">
        <f t="shared" si="2"/>
        <v>1800</v>
      </c>
      <c r="E21" s="64">
        <f t="shared" si="4"/>
        <v>-9.5703396035008298E-3</v>
      </c>
      <c r="G21" s="62"/>
      <c r="H21" s="61">
        <f t="shared" si="3"/>
        <v>750</v>
      </c>
      <c r="I21" s="64">
        <f t="shared" si="5"/>
        <v>-3.9876415014586794E-3</v>
      </c>
    </row>
    <row r="22" spans="1:9" x14ac:dyDescent="0.25">
      <c r="A22" t="s">
        <v>14</v>
      </c>
      <c r="B22" s="2">
        <v>50</v>
      </c>
      <c r="C22" s="2"/>
      <c r="D22" s="61">
        <f t="shared" si="2"/>
        <v>600</v>
      </c>
      <c r="E22" s="64">
        <f t="shared" si="4"/>
        <v>-3.1901132011669434E-3</v>
      </c>
      <c r="G22" s="2"/>
      <c r="H22" s="61">
        <f t="shared" si="3"/>
        <v>250</v>
      </c>
      <c r="I22" s="64">
        <f t="shared" si="5"/>
        <v>-1.3292138338195597E-3</v>
      </c>
    </row>
    <row r="23" spans="1:9" x14ac:dyDescent="0.25">
      <c r="A23" s="60" t="s">
        <v>15</v>
      </c>
      <c r="B23" s="62">
        <v>100</v>
      </c>
      <c r="C23" s="62"/>
      <c r="D23" s="63">
        <f t="shared" si="2"/>
        <v>1200</v>
      </c>
      <c r="E23" s="64">
        <f t="shared" si="4"/>
        <v>-6.3802264023338868E-3</v>
      </c>
      <c r="G23" s="62"/>
      <c r="H23" s="61">
        <f t="shared" si="3"/>
        <v>500</v>
      </c>
      <c r="I23" s="64">
        <f t="shared" si="5"/>
        <v>-2.6584276676391194E-3</v>
      </c>
    </row>
    <row r="24" spans="1:9" x14ac:dyDescent="0.25">
      <c r="A24" t="s">
        <v>16</v>
      </c>
      <c r="B24" s="2">
        <v>50</v>
      </c>
      <c r="C24" s="2"/>
      <c r="D24" s="61">
        <f t="shared" si="2"/>
        <v>600</v>
      </c>
      <c r="E24" s="64">
        <f t="shared" si="4"/>
        <v>-3.1901132011669434E-3</v>
      </c>
      <c r="G24" s="2"/>
      <c r="H24" s="61">
        <f t="shared" si="3"/>
        <v>250</v>
      </c>
      <c r="I24" s="64">
        <f t="shared" si="5"/>
        <v>-1.3292138338195597E-3</v>
      </c>
    </row>
    <row r="25" spans="1:9" x14ac:dyDescent="0.25">
      <c r="A25" s="60" t="s">
        <v>17</v>
      </c>
      <c r="B25" s="62">
        <v>300</v>
      </c>
      <c r="C25" s="62"/>
      <c r="D25" s="63">
        <f t="shared" si="2"/>
        <v>3600</v>
      </c>
      <c r="E25" s="64">
        <f t="shared" si="4"/>
        <v>-1.914067920700166E-2</v>
      </c>
      <c r="G25" s="62"/>
      <c r="H25" s="61">
        <f>B25*$I$1</f>
        <v>1500</v>
      </c>
      <c r="I25" s="64">
        <f t="shared" si="5"/>
        <v>-7.9752830029173587E-3</v>
      </c>
    </row>
    <row r="26" spans="1:9" x14ac:dyDescent="0.25">
      <c r="A26" t="s">
        <v>18</v>
      </c>
      <c r="B26" s="2">
        <v>0</v>
      </c>
      <c r="C26" s="2"/>
      <c r="D26" s="61">
        <f t="shared" si="2"/>
        <v>0</v>
      </c>
      <c r="E26" s="64">
        <f t="shared" si="4"/>
        <v>0</v>
      </c>
      <c r="G26" s="2"/>
      <c r="H26" s="61">
        <f t="shared" si="3"/>
        <v>0</v>
      </c>
      <c r="I26" s="64">
        <f t="shared" si="5"/>
        <v>0</v>
      </c>
    </row>
    <row r="27" spans="1:9" x14ac:dyDescent="0.25">
      <c r="A27" t="s">
        <v>218</v>
      </c>
      <c r="B27" s="2">
        <v>70</v>
      </c>
      <c r="C27" s="2"/>
      <c r="D27" s="61">
        <f t="shared" si="2"/>
        <v>840</v>
      </c>
      <c r="E27" s="64">
        <f t="shared" si="4"/>
        <v>-4.4661584816337203E-3</v>
      </c>
      <c r="G27" s="2"/>
      <c r="H27" s="61">
        <f t="shared" si="3"/>
        <v>350</v>
      </c>
      <c r="I27" s="64">
        <f t="shared" si="5"/>
        <v>-1.8608993673473837E-3</v>
      </c>
    </row>
    <row r="28" spans="1:9" x14ac:dyDescent="0.25">
      <c r="A28" t="s">
        <v>584</v>
      </c>
      <c r="B28" s="2">
        <v>420</v>
      </c>
      <c r="C28" s="2"/>
      <c r="D28" s="61">
        <f t="shared" si="2"/>
        <v>5040</v>
      </c>
      <c r="E28" s="64">
        <f t="shared" si="4"/>
        <v>-2.6796950889802326E-2</v>
      </c>
      <c r="G28" s="2"/>
      <c r="H28" s="61">
        <v>0</v>
      </c>
      <c r="I28" s="64">
        <f t="shared" si="5"/>
        <v>0</v>
      </c>
    </row>
    <row r="29" spans="1:9" x14ac:dyDescent="0.25">
      <c r="A29" t="s">
        <v>44</v>
      </c>
      <c r="B29" s="2">
        <v>-100</v>
      </c>
      <c r="C29" s="2"/>
      <c r="D29" s="61">
        <f t="shared" si="2"/>
        <v>-1200</v>
      </c>
      <c r="E29" s="64">
        <f t="shared" si="4"/>
        <v>6.3802264023338868E-3</v>
      </c>
      <c r="G29" s="2"/>
      <c r="H29" s="61">
        <f t="shared" si="3"/>
        <v>-500</v>
      </c>
      <c r="I29" s="64">
        <f t="shared" si="5"/>
        <v>2.6584276676391194E-3</v>
      </c>
    </row>
    <row r="35" spans="1:9" x14ac:dyDescent="0.25">
      <c r="C35" t="s">
        <v>621</v>
      </c>
      <c r="D35" s="61">
        <f>SUM(D6:D34)</f>
        <v>128888</v>
      </c>
      <c r="G35" t="s">
        <v>621</v>
      </c>
      <c r="H35" s="61">
        <f>SUM(H6:H34)</f>
        <v>47750</v>
      </c>
    </row>
    <row r="36" spans="1:9" x14ac:dyDescent="0.25">
      <c r="A36" s="60" t="s">
        <v>618</v>
      </c>
      <c r="B36" s="61">
        <f>SUM(B2:B4)-SUM(B13:B29)</f>
        <v>28</v>
      </c>
      <c r="C36" s="60" t="s">
        <v>619</v>
      </c>
      <c r="D36" s="61">
        <f>(-D2-D3)-D35</f>
        <v>59193.100000000006</v>
      </c>
      <c r="E36" s="65">
        <f t="shared" ref="E36" si="6">D36/($D$2+$D$3)</f>
        <v>-0.31472114954665836</v>
      </c>
      <c r="G36" s="60" t="s">
        <v>619</v>
      </c>
      <c r="H36" s="61">
        <f>(-H2-H3)-H35</f>
        <v>10400.800000000003</v>
      </c>
      <c r="I36" s="65">
        <f t="shared" ref="I36" si="7">H36/($D$2+$D$3)</f>
        <v>-5.5299548971161919E-2</v>
      </c>
    </row>
  </sheetData>
  <pageMargins left="0.7" right="0.7" top="0.75" bottom="0.75" header="0.3" footer="0.3"/>
  <pageSetup paperSize="288" orientation="portrait" horizontalDpi="203" verticalDpi="20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D32D-B4E2-46A0-A1FB-F1A725256E9B}">
  <dimension ref="A1:D27"/>
  <sheetViews>
    <sheetView workbookViewId="0">
      <selection activeCell="B2" sqref="B2:B4"/>
    </sheetView>
    <sheetView workbookViewId="1">
      <selection activeCell="D21" sqref="D21"/>
    </sheetView>
  </sheetViews>
  <sheetFormatPr defaultRowHeight="15" x14ac:dyDescent="0.25"/>
  <cols>
    <col min="1" max="1" width="17.42578125" customWidth="1"/>
    <col min="2" max="2" width="10.5703125" bestFit="1" customWidth="1"/>
    <col min="3" max="3" width="11.5703125" customWidth="1"/>
  </cols>
  <sheetData>
    <row r="1" spans="1:4" x14ac:dyDescent="0.25">
      <c r="A1" s="60" t="s">
        <v>0</v>
      </c>
      <c r="B1" s="60" t="s">
        <v>1</v>
      </c>
      <c r="C1" s="60" t="s">
        <v>583</v>
      </c>
    </row>
    <row r="2" spans="1:4" x14ac:dyDescent="0.25">
      <c r="A2" t="s">
        <v>2</v>
      </c>
      <c r="B2" s="2">
        <v>1380</v>
      </c>
    </row>
    <row r="3" spans="1:4" x14ac:dyDescent="0.25">
      <c r="A3" t="s">
        <v>3</v>
      </c>
      <c r="B3" s="2">
        <f>1380</f>
        <v>1380</v>
      </c>
    </row>
    <row r="4" spans="1:4" x14ac:dyDescent="0.25">
      <c r="A4" t="s">
        <v>4</v>
      </c>
      <c r="B4" s="2">
        <f>1369+1369</f>
        <v>2738</v>
      </c>
    </row>
    <row r="5" spans="1:4" x14ac:dyDescent="0.25">
      <c r="B5" s="2"/>
    </row>
    <row r="6" spans="1:4" x14ac:dyDescent="0.25">
      <c r="B6" s="2"/>
    </row>
    <row r="7" spans="1:4" x14ac:dyDescent="0.25">
      <c r="A7" t="s">
        <v>5</v>
      </c>
      <c r="B7" s="2">
        <v>1400</v>
      </c>
      <c r="C7" s="61">
        <f>B7*12</f>
        <v>16800</v>
      </c>
    </row>
    <row r="8" spans="1:4" x14ac:dyDescent="0.25">
      <c r="B8" s="2"/>
      <c r="C8" s="61"/>
    </row>
    <row r="9" spans="1:4" x14ac:dyDescent="0.25">
      <c r="C9" s="2"/>
      <c r="D9" s="61"/>
    </row>
    <row r="10" spans="1:4" x14ac:dyDescent="0.25">
      <c r="B10" s="2"/>
      <c r="C10" s="61"/>
    </row>
    <row r="11" spans="1:4" x14ac:dyDescent="0.25">
      <c r="B11" s="2"/>
      <c r="C11" s="61"/>
    </row>
    <row r="12" spans="1:4" x14ac:dyDescent="0.25">
      <c r="A12" t="s">
        <v>6</v>
      </c>
      <c r="B12" s="2">
        <v>800</v>
      </c>
      <c r="C12" s="61">
        <f t="shared" ref="C12:C27" si="0">B12*12</f>
        <v>9600</v>
      </c>
    </row>
    <row r="13" spans="1:4" x14ac:dyDescent="0.25">
      <c r="A13" t="s">
        <v>7</v>
      </c>
      <c r="B13" s="2">
        <v>400</v>
      </c>
      <c r="C13" s="61">
        <f t="shared" si="0"/>
        <v>4800</v>
      </c>
    </row>
    <row r="14" spans="1:4" x14ac:dyDescent="0.25">
      <c r="A14" t="s">
        <v>8</v>
      </c>
      <c r="B14" s="2">
        <v>600</v>
      </c>
      <c r="C14" s="61">
        <f t="shared" si="0"/>
        <v>7200</v>
      </c>
    </row>
    <row r="15" spans="1:4" x14ac:dyDescent="0.25">
      <c r="A15" t="s">
        <v>9</v>
      </c>
      <c r="B15" s="2">
        <v>600</v>
      </c>
      <c r="C15" s="61">
        <f t="shared" si="0"/>
        <v>7200</v>
      </c>
    </row>
    <row r="16" spans="1:4" x14ac:dyDescent="0.25">
      <c r="A16" t="s">
        <v>10</v>
      </c>
      <c r="B16" s="2">
        <v>400</v>
      </c>
      <c r="C16" s="61">
        <f t="shared" si="0"/>
        <v>4800</v>
      </c>
    </row>
    <row r="17" spans="1:3" x14ac:dyDescent="0.25">
      <c r="A17" t="s">
        <v>11</v>
      </c>
      <c r="B17" s="2">
        <v>200</v>
      </c>
      <c r="C17" s="61">
        <f t="shared" si="0"/>
        <v>2400</v>
      </c>
    </row>
    <row r="18" spans="1:3" x14ac:dyDescent="0.25">
      <c r="A18" t="s">
        <v>12</v>
      </c>
      <c r="B18" s="2">
        <v>200</v>
      </c>
      <c r="C18" s="61">
        <f t="shared" si="0"/>
        <v>2400</v>
      </c>
    </row>
    <row r="19" spans="1:3" x14ac:dyDescent="0.25">
      <c r="A19" t="s">
        <v>13</v>
      </c>
      <c r="B19" s="2">
        <v>200</v>
      </c>
      <c r="C19" s="61">
        <f t="shared" si="0"/>
        <v>2400</v>
      </c>
    </row>
    <row r="20" spans="1:3" x14ac:dyDescent="0.25">
      <c r="A20" t="s">
        <v>14</v>
      </c>
      <c r="B20" s="2">
        <v>50</v>
      </c>
      <c r="C20" s="61">
        <f t="shared" si="0"/>
        <v>600</v>
      </c>
    </row>
    <row r="21" spans="1:3" x14ac:dyDescent="0.25">
      <c r="A21" t="s">
        <v>15</v>
      </c>
      <c r="B21" s="2">
        <v>100</v>
      </c>
      <c r="C21" s="61">
        <f t="shared" si="0"/>
        <v>1200</v>
      </c>
    </row>
    <row r="22" spans="1:3" x14ac:dyDescent="0.25">
      <c r="A22" t="s">
        <v>16</v>
      </c>
      <c r="B22" s="2">
        <v>50</v>
      </c>
      <c r="C22" s="61">
        <f t="shared" si="0"/>
        <v>600</v>
      </c>
    </row>
    <row r="23" spans="1:3" x14ac:dyDescent="0.25">
      <c r="A23" t="s">
        <v>17</v>
      </c>
      <c r="B23" s="2">
        <v>300</v>
      </c>
      <c r="C23" s="61">
        <f t="shared" si="0"/>
        <v>3600</v>
      </c>
    </row>
    <row r="24" spans="1:3" x14ac:dyDescent="0.25">
      <c r="A24" t="s">
        <v>18</v>
      </c>
      <c r="B24" s="2">
        <v>0</v>
      </c>
      <c r="C24" s="61">
        <f t="shared" si="0"/>
        <v>0</v>
      </c>
    </row>
    <row r="25" spans="1:3" x14ac:dyDescent="0.25">
      <c r="A25" t="s">
        <v>19</v>
      </c>
      <c r="B25" s="2">
        <v>0</v>
      </c>
      <c r="C25" s="61">
        <f t="shared" si="0"/>
        <v>0</v>
      </c>
    </row>
    <row r="26" spans="1:3" x14ac:dyDescent="0.25">
      <c r="A26" t="s">
        <v>218</v>
      </c>
      <c r="B26" s="2">
        <v>70</v>
      </c>
      <c r="C26" s="61">
        <f t="shared" si="0"/>
        <v>840</v>
      </c>
    </row>
    <row r="27" spans="1:3" x14ac:dyDescent="0.25">
      <c r="A27" t="s">
        <v>584</v>
      </c>
      <c r="B27" s="2">
        <v>420</v>
      </c>
      <c r="C27" s="61">
        <f t="shared" si="0"/>
        <v>5040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0993-C722-43EB-BA79-B2A4BE6FB1B1}">
  <dimension ref="A1:G12"/>
  <sheetViews>
    <sheetView zoomScale="145" zoomScaleNormal="145" workbookViewId="0">
      <selection activeCell="D9" sqref="D9"/>
    </sheetView>
    <sheetView workbookViewId="1"/>
  </sheetViews>
  <sheetFormatPr defaultRowHeight="15" x14ac:dyDescent="0.25"/>
  <cols>
    <col min="1" max="1" width="18.5703125" customWidth="1"/>
    <col min="3" max="3" width="9.28515625" customWidth="1"/>
    <col min="4" max="4" width="23.7109375" style="2" customWidth="1"/>
    <col min="5" max="5" width="24.7109375" customWidth="1"/>
    <col min="7" max="7" width="13.7109375" customWidth="1"/>
  </cols>
  <sheetData>
    <row r="1" spans="1:7" x14ac:dyDescent="0.25">
      <c r="A1" t="s">
        <v>20</v>
      </c>
      <c r="B1" t="s">
        <v>21</v>
      </c>
      <c r="C1" t="s">
        <v>22</v>
      </c>
      <c r="D1" s="2" t="s">
        <v>23</v>
      </c>
      <c r="E1" s="2" t="s">
        <v>573</v>
      </c>
      <c r="F1" t="s">
        <v>24</v>
      </c>
      <c r="G1" t="s">
        <v>42</v>
      </c>
    </row>
    <row r="2" spans="1:7" x14ac:dyDescent="0.25">
      <c r="A2" t="s">
        <v>26</v>
      </c>
      <c r="B2" t="s">
        <v>33</v>
      </c>
      <c r="C2">
        <v>6549</v>
      </c>
      <c r="D2" s="2">
        <v>16.3</v>
      </c>
      <c r="E2" s="2">
        <v>55.49</v>
      </c>
      <c r="F2" t="s">
        <v>34</v>
      </c>
      <c r="G2" s="3">
        <v>46237</v>
      </c>
    </row>
    <row r="3" spans="1:7" x14ac:dyDescent="0.25">
      <c r="A3" t="s">
        <v>26</v>
      </c>
      <c r="B3" t="s">
        <v>27</v>
      </c>
      <c r="C3">
        <v>9495</v>
      </c>
      <c r="D3" s="2">
        <v>71.099999999999994</v>
      </c>
      <c r="E3" s="2">
        <v>0</v>
      </c>
      <c r="F3" t="s">
        <v>2</v>
      </c>
      <c r="G3" s="3">
        <v>46267</v>
      </c>
    </row>
    <row r="4" spans="1:7" x14ac:dyDescent="0.25">
      <c r="A4" t="s">
        <v>26</v>
      </c>
      <c r="B4" t="s">
        <v>28</v>
      </c>
      <c r="C4">
        <v>9203</v>
      </c>
      <c r="D4" s="2">
        <v>928.38</v>
      </c>
      <c r="E4" s="2">
        <v>11.49</v>
      </c>
      <c r="F4" t="s">
        <v>2</v>
      </c>
      <c r="G4" t="s">
        <v>248</v>
      </c>
    </row>
    <row r="5" spans="1:7" x14ac:dyDescent="0.25">
      <c r="A5" t="s">
        <v>30</v>
      </c>
      <c r="B5" t="s">
        <v>31</v>
      </c>
      <c r="C5">
        <v>4319</v>
      </c>
      <c r="D5" s="2">
        <v>537.36</v>
      </c>
      <c r="E5" s="2">
        <v>0</v>
      </c>
      <c r="F5" t="s">
        <v>2</v>
      </c>
      <c r="G5" t="s">
        <v>32</v>
      </c>
    </row>
    <row r="6" spans="1:7" x14ac:dyDescent="0.25">
      <c r="A6" t="s">
        <v>35</v>
      </c>
      <c r="B6" t="s">
        <v>27</v>
      </c>
      <c r="C6">
        <v>5676</v>
      </c>
      <c r="D6" s="2">
        <v>1378.69</v>
      </c>
      <c r="E6" s="2">
        <f>2070.89-903.1-427.87</f>
        <v>739.92</v>
      </c>
      <c r="F6" t="s">
        <v>2</v>
      </c>
      <c r="G6" s="3">
        <v>46255</v>
      </c>
    </row>
    <row r="7" spans="1:7" x14ac:dyDescent="0.25">
      <c r="A7" t="s">
        <v>29</v>
      </c>
      <c r="B7" t="s">
        <v>27</v>
      </c>
      <c r="C7">
        <v>31005</v>
      </c>
      <c r="D7" s="2">
        <v>42</v>
      </c>
      <c r="E7" s="2">
        <v>0</v>
      </c>
      <c r="F7" t="s">
        <v>2</v>
      </c>
      <c r="G7" s="3">
        <v>46254</v>
      </c>
    </row>
    <row r="8" spans="1:7" x14ac:dyDescent="0.25">
      <c r="A8" t="s">
        <v>35</v>
      </c>
      <c r="B8" t="s">
        <v>27</v>
      </c>
      <c r="C8">
        <v>7706</v>
      </c>
      <c r="D8" s="2">
        <v>561.44000000000005</v>
      </c>
      <c r="E8" s="2"/>
      <c r="F8" t="s">
        <v>3</v>
      </c>
      <c r="G8" s="3">
        <v>46255</v>
      </c>
    </row>
    <row r="9" spans="1:7" x14ac:dyDescent="0.25">
      <c r="A9" t="s">
        <v>26</v>
      </c>
      <c r="B9" t="s">
        <v>27</v>
      </c>
      <c r="C9">
        <v>9994</v>
      </c>
      <c r="D9" s="2">
        <v>994.67</v>
      </c>
      <c r="E9" s="2">
        <v>0</v>
      </c>
      <c r="F9" t="s">
        <v>3</v>
      </c>
      <c r="G9" s="3">
        <v>46236</v>
      </c>
    </row>
    <row r="10" spans="1:7" x14ac:dyDescent="0.25">
      <c r="A10" t="s">
        <v>26</v>
      </c>
      <c r="B10" t="s">
        <v>28</v>
      </c>
      <c r="C10">
        <v>5397</v>
      </c>
      <c r="D10" s="2">
        <v>274.77999999999997</v>
      </c>
      <c r="E10" s="2">
        <v>0</v>
      </c>
      <c r="F10" t="s">
        <v>3</v>
      </c>
      <c r="G10" s="3">
        <v>46250</v>
      </c>
    </row>
    <row r="12" spans="1:7" x14ac:dyDescent="0.25">
      <c r="A12" t="s">
        <v>563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277F-4C29-45D1-97EB-159E9CF5B539}">
  <dimension ref="A1:G965"/>
  <sheetViews>
    <sheetView zoomScale="115" zoomScaleNormal="115" workbookViewId="0">
      <selection activeCell="C950" sqref="C950"/>
    </sheetView>
    <sheetView workbookViewId="1">
      <selection activeCell="D953" sqref="D953"/>
    </sheetView>
  </sheetViews>
  <sheetFormatPr defaultRowHeight="15" x14ac:dyDescent="0.25"/>
  <cols>
    <col min="1" max="1" width="13.42578125" style="21" customWidth="1"/>
    <col min="2" max="3" width="11.7109375" style="21" customWidth="1"/>
    <col min="4" max="4" width="47.140625" style="21" customWidth="1"/>
    <col min="5" max="5" width="25.140625" style="21" customWidth="1"/>
    <col min="6" max="6" width="14.42578125" style="29" customWidth="1"/>
    <col min="7" max="16384" width="9.140625" style="21"/>
  </cols>
  <sheetData>
    <row r="1" spans="1:6" x14ac:dyDescent="0.25">
      <c r="A1" s="21" t="s">
        <v>39</v>
      </c>
      <c r="B1" s="21" t="s">
        <v>22</v>
      </c>
      <c r="C1" s="21" t="s">
        <v>42</v>
      </c>
      <c r="D1" s="21" t="s">
        <v>41</v>
      </c>
      <c r="E1" s="21" t="s">
        <v>40</v>
      </c>
      <c r="F1" s="29" t="s">
        <v>23</v>
      </c>
    </row>
    <row r="2" spans="1:6" hidden="1" x14ac:dyDescent="0.25">
      <c r="B2" s="21">
        <v>9203</v>
      </c>
      <c r="C2" s="24">
        <v>46023</v>
      </c>
      <c r="D2" s="21" t="s">
        <v>336</v>
      </c>
      <c r="E2" s="21" t="s">
        <v>10</v>
      </c>
      <c r="F2" s="21">
        <v>799.45</v>
      </c>
    </row>
    <row r="3" spans="1:6" hidden="1" x14ac:dyDescent="0.25">
      <c r="B3" s="21">
        <v>31005</v>
      </c>
      <c r="C3" s="43">
        <v>46023</v>
      </c>
      <c r="D3" s="43" t="s">
        <v>205</v>
      </c>
      <c r="E3" s="21" t="s">
        <v>16</v>
      </c>
      <c r="F3" s="21">
        <v>18.64</v>
      </c>
    </row>
    <row r="4" spans="1:6" hidden="1" x14ac:dyDescent="0.25">
      <c r="B4" s="21">
        <v>9203</v>
      </c>
      <c r="C4" s="24">
        <v>46024</v>
      </c>
      <c r="D4" s="21" t="s">
        <v>335</v>
      </c>
      <c r="E4" s="21" t="s">
        <v>9</v>
      </c>
      <c r="F4" s="21">
        <v>62.5</v>
      </c>
    </row>
    <row r="5" spans="1:6" hidden="1" x14ac:dyDescent="0.25">
      <c r="B5" s="21">
        <v>2445</v>
      </c>
      <c r="C5" s="43">
        <v>46024</v>
      </c>
      <c r="D5" s="43" t="s">
        <v>436</v>
      </c>
      <c r="E5" s="21" t="s">
        <v>196</v>
      </c>
      <c r="F5" s="29">
        <v>-210</v>
      </c>
    </row>
    <row r="6" spans="1:6" hidden="1" x14ac:dyDescent="0.25">
      <c r="B6" s="21">
        <v>31005</v>
      </c>
      <c r="C6" s="43">
        <v>46024</v>
      </c>
      <c r="D6" s="43" t="s">
        <v>510</v>
      </c>
      <c r="E6" s="21" t="s">
        <v>11</v>
      </c>
      <c r="F6" s="21">
        <v>24.06</v>
      </c>
    </row>
    <row r="7" spans="1:6" hidden="1" x14ac:dyDescent="0.25">
      <c r="B7" s="21">
        <v>9495</v>
      </c>
      <c r="C7" s="43">
        <v>46026</v>
      </c>
      <c r="D7" s="43" t="s">
        <v>216</v>
      </c>
      <c r="E7" s="21" t="s">
        <v>11</v>
      </c>
      <c r="F7" s="29">
        <v>25</v>
      </c>
    </row>
    <row r="8" spans="1:6" hidden="1" x14ac:dyDescent="0.25">
      <c r="B8" s="21">
        <v>9495</v>
      </c>
      <c r="C8" s="43">
        <v>46026</v>
      </c>
      <c r="D8" s="43" t="s">
        <v>409</v>
      </c>
      <c r="E8" s="21" t="s">
        <v>11</v>
      </c>
      <c r="F8" s="29">
        <v>50</v>
      </c>
    </row>
    <row r="9" spans="1:6" hidden="1" x14ac:dyDescent="0.25">
      <c r="B9" s="21">
        <v>9495</v>
      </c>
      <c r="C9" s="43">
        <v>46026</v>
      </c>
      <c r="D9" s="43" t="s">
        <v>395</v>
      </c>
      <c r="E9" s="21" t="s">
        <v>27</v>
      </c>
      <c r="F9" s="29">
        <v>-4.87</v>
      </c>
    </row>
    <row r="10" spans="1:6" hidden="1" x14ac:dyDescent="0.25">
      <c r="B10" s="21">
        <v>9495</v>
      </c>
      <c r="C10" s="43">
        <v>46026</v>
      </c>
      <c r="D10" s="43" t="s">
        <v>410</v>
      </c>
      <c r="E10" s="21" t="s">
        <v>16</v>
      </c>
      <c r="F10" s="29">
        <v>4.87</v>
      </c>
    </row>
    <row r="11" spans="1:6" hidden="1" x14ac:dyDescent="0.25">
      <c r="B11" s="21">
        <v>9495</v>
      </c>
      <c r="C11" s="43">
        <v>46027</v>
      </c>
      <c r="D11" s="43" t="s">
        <v>404</v>
      </c>
      <c r="E11" s="21" t="s">
        <v>268</v>
      </c>
      <c r="F11" s="29">
        <v>182</v>
      </c>
    </row>
    <row r="12" spans="1:6" hidden="1" x14ac:dyDescent="0.25">
      <c r="B12" s="21">
        <v>2445</v>
      </c>
      <c r="C12" s="43">
        <v>46027</v>
      </c>
      <c r="D12" s="43" t="s">
        <v>436</v>
      </c>
      <c r="E12" s="21" t="s">
        <v>196</v>
      </c>
      <c r="F12" s="29">
        <v>-260</v>
      </c>
    </row>
    <row r="13" spans="1:6" hidden="1" x14ac:dyDescent="0.25">
      <c r="B13" s="21">
        <v>9495</v>
      </c>
      <c r="C13" s="43">
        <v>46028</v>
      </c>
      <c r="D13" s="43" t="s">
        <v>326</v>
      </c>
      <c r="E13" s="21" t="s">
        <v>6</v>
      </c>
      <c r="F13" s="29">
        <v>22.76</v>
      </c>
    </row>
    <row r="14" spans="1:6" hidden="1" x14ac:dyDescent="0.25">
      <c r="B14" s="21">
        <v>9495</v>
      </c>
      <c r="C14" s="43">
        <v>46028</v>
      </c>
      <c r="D14" s="43" t="s">
        <v>388</v>
      </c>
      <c r="E14" s="21" t="s">
        <v>10</v>
      </c>
      <c r="F14" s="29">
        <v>84.98</v>
      </c>
    </row>
    <row r="15" spans="1:6" hidden="1" x14ac:dyDescent="0.25">
      <c r="B15" s="21">
        <v>2445</v>
      </c>
      <c r="C15" s="43">
        <v>46028</v>
      </c>
      <c r="D15" s="43" t="s">
        <v>440</v>
      </c>
      <c r="E15" s="21" t="s">
        <v>44</v>
      </c>
      <c r="F15" s="29">
        <v>-16.13</v>
      </c>
    </row>
    <row r="16" spans="1:6" hidden="1" x14ac:dyDescent="0.25">
      <c r="B16" s="21">
        <v>9495</v>
      </c>
      <c r="C16" s="43">
        <v>46029</v>
      </c>
      <c r="D16" s="43" t="s">
        <v>300</v>
      </c>
      <c r="E16" s="21" t="s">
        <v>44</v>
      </c>
      <c r="F16" s="29">
        <v>25.71</v>
      </c>
    </row>
    <row r="17" spans="2:6" hidden="1" x14ac:dyDescent="0.25">
      <c r="B17" s="21">
        <v>9495</v>
      </c>
      <c r="C17" s="43">
        <v>46030</v>
      </c>
      <c r="D17" s="43" t="s">
        <v>408</v>
      </c>
      <c r="E17" s="21" t="s">
        <v>11</v>
      </c>
      <c r="F17" s="29">
        <v>31.51</v>
      </c>
    </row>
    <row r="18" spans="2:6" hidden="1" x14ac:dyDescent="0.25">
      <c r="B18" s="21">
        <v>9495</v>
      </c>
      <c r="C18" s="43">
        <v>46030</v>
      </c>
      <c r="D18" s="43" t="s">
        <v>63</v>
      </c>
      <c r="E18" s="21" t="s">
        <v>11</v>
      </c>
      <c r="F18" s="29">
        <v>26.1</v>
      </c>
    </row>
    <row r="19" spans="2:6" hidden="1" x14ac:dyDescent="0.25">
      <c r="B19" s="21">
        <v>2445</v>
      </c>
      <c r="C19" s="43">
        <v>46030</v>
      </c>
      <c r="D19" s="43" t="s">
        <v>436</v>
      </c>
      <c r="E19" s="21" t="s">
        <v>196</v>
      </c>
      <c r="F19" s="29">
        <v>-70</v>
      </c>
    </row>
    <row r="20" spans="2:6" hidden="1" x14ac:dyDescent="0.25">
      <c r="B20" s="21">
        <v>2445</v>
      </c>
      <c r="C20" s="27">
        <v>46030</v>
      </c>
      <c r="D20" s="43" t="s">
        <v>467</v>
      </c>
      <c r="E20" s="21" t="s">
        <v>18</v>
      </c>
      <c r="F20" s="28">
        <v>-268.76</v>
      </c>
    </row>
    <row r="21" spans="2:6" hidden="1" x14ac:dyDescent="0.25">
      <c r="B21" s="21">
        <v>9203</v>
      </c>
      <c r="C21" s="24">
        <v>46031</v>
      </c>
      <c r="D21" s="21" t="s">
        <v>70</v>
      </c>
      <c r="E21" s="21" t="s">
        <v>18</v>
      </c>
      <c r="F21" s="21">
        <v>32.25</v>
      </c>
    </row>
    <row r="22" spans="2:6" hidden="1" x14ac:dyDescent="0.25">
      <c r="B22" s="21">
        <v>9203</v>
      </c>
      <c r="C22" s="24">
        <v>46033</v>
      </c>
      <c r="D22" s="21" t="s">
        <v>70</v>
      </c>
      <c r="E22" s="21" t="s">
        <v>18</v>
      </c>
      <c r="F22" s="21">
        <v>32.25</v>
      </c>
    </row>
    <row r="23" spans="2:6" hidden="1" x14ac:dyDescent="0.25">
      <c r="B23" s="21">
        <v>9495</v>
      </c>
      <c r="C23" s="43">
        <v>46033</v>
      </c>
      <c r="D23" s="43" t="s">
        <v>355</v>
      </c>
      <c r="E23" s="21" t="s">
        <v>218</v>
      </c>
      <c r="F23" s="29">
        <v>335.38</v>
      </c>
    </row>
    <row r="24" spans="2:6" hidden="1" x14ac:dyDescent="0.25">
      <c r="B24" s="21">
        <v>9495</v>
      </c>
      <c r="C24" s="43">
        <v>46033</v>
      </c>
      <c r="D24" s="43" t="s">
        <v>327</v>
      </c>
      <c r="E24" s="21" t="s">
        <v>9</v>
      </c>
      <c r="F24" s="29">
        <v>19.989999999999998</v>
      </c>
    </row>
    <row r="25" spans="2:6" hidden="1" x14ac:dyDescent="0.25">
      <c r="B25" s="21">
        <v>9495</v>
      </c>
      <c r="C25" s="43">
        <v>46033</v>
      </c>
      <c r="D25" s="43" t="s">
        <v>406</v>
      </c>
      <c r="E25" s="21" t="s">
        <v>9</v>
      </c>
      <c r="F25" s="29">
        <v>109.38</v>
      </c>
    </row>
    <row r="26" spans="2:6" hidden="1" x14ac:dyDescent="0.25">
      <c r="B26" s="21">
        <v>9495</v>
      </c>
      <c r="C26" s="43">
        <v>46033</v>
      </c>
      <c r="D26" s="43" t="s">
        <v>407</v>
      </c>
      <c r="E26" s="21" t="s">
        <v>9</v>
      </c>
      <c r="F26" s="29">
        <v>37.72</v>
      </c>
    </row>
    <row r="27" spans="2:6" hidden="1" x14ac:dyDescent="0.25">
      <c r="B27" s="21">
        <v>9203</v>
      </c>
      <c r="C27" s="24">
        <v>46034</v>
      </c>
      <c r="D27" s="21" t="s">
        <v>315</v>
      </c>
      <c r="E27" s="21" t="s">
        <v>10</v>
      </c>
      <c r="F27" s="21">
        <v>98</v>
      </c>
    </row>
    <row r="28" spans="2:6" hidden="1" x14ac:dyDescent="0.25">
      <c r="B28" s="21">
        <v>2445</v>
      </c>
      <c r="C28" s="43">
        <v>46034</v>
      </c>
      <c r="D28" s="43" t="s">
        <v>436</v>
      </c>
      <c r="E28" s="21" t="s">
        <v>196</v>
      </c>
      <c r="F28" s="29">
        <v>-16</v>
      </c>
    </row>
    <row r="29" spans="2:6" hidden="1" x14ac:dyDescent="0.25">
      <c r="B29" s="21">
        <v>31005</v>
      </c>
      <c r="C29" s="43">
        <v>46034</v>
      </c>
      <c r="D29" s="43" t="s">
        <v>509</v>
      </c>
      <c r="E29" s="21" t="s">
        <v>6</v>
      </c>
      <c r="F29" s="21">
        <v>21.4</v>
      </c>
    </row>
    <row r="30" spans="2:6" hidden="1" x14ac:dyDescent="0.25">
      <c r="B30" s="21">
        <v>9495</v>
      </c>
      <c r="C30" s="43">
        <v>46035</v>
      </c>
      <c r="D30" s="43" t="s">
        <v>395</v>
      </c>
      <c r="E30" s="21" t="s">
        <v>27</v>
      </c>
      <c r="F30" s="29">
        <v>-8</v>
      </c>
    </row>
    <row r="31" spans="2:6" hidden="1" x14ac:dyDescent="0.25">
      <c r="B31" s="21">
        <v>9495</v>
      </c>
      <c r="C31" s="43">
        <v>46035</v>
      </c>
      <c r="D31" s="43" t="s">
        <v>277</v>
      </c>
      <c r="E31" s="21" t="s">
        <v>18</v>
      </c>
      <c r="F31" s="29">
        <v>8</v>
      </c>
    </row>
    <row r="32" spans="2:6" hidden="1" x14ac:dyDescent="0.25">
      <c r="B32" s="21">
        <v>9495</v>
      </c>
      <c r="C32" s="43">
        <v>46035</v>
      </c>
      <c r="D32" s="43" t="s">
        <v>398</v>
      </c>
      <c r="E32" s="21" t="s">
        <v>44</v>
      </c>
      <c r="F32" s="29">
        <v>11.82</v>
      </c>
    </row>
    <row r="33" spans="2:6" hidden="1" x14ac:dyDescent="0.25">
      <c r="B33" s="21">
        <v>2445</v>
      </c>
      <c r="C33" s="43">
        <v>46035</v>
      </c>
      <c r="D33" s="43" t="s">
        <v>440</v>
      </c>
      <c r="E33" s="21" t="s">
        <v>44</v>
      </c>
      <c r="F33" s="29">
        <v>-32.630000000000003</v>
      </c>
    </row>
    <row r="34" spans="2:6" hidden="1" x14ac:dyDescent="0.25">
      <c r="B34" s="21">
        <v>9203</v>
      </c>
      <c r="C34" s="24">
        <v>46036</v>
      </c>
      <c r="D34" s="21" t="s">
        <v>70</v>
      </c>
      <c r="E34" s="21" t="s">
        <v>18</v>
      </c>
      <c r="F34" s="21">
        <v>32.25</v>
      </c>
    </row>
    <row r="35" spans="2:6" hidden="1" x14ac:dyDescent="0.25">
      <c r="B35" s="21">
        <v>31005</v>
      </c>
      <c r="C35" s="43">
        <v>46036</v>
      </c>
      <c r="D35" s="43" t="s">
        <v>508</v>
      </c>
      <c r="E35" s="21" t="s">
        <v>11</v>
      </c>
      <c r="F35" s="21">
        <v>3.19</v>
      </c>
    </row>
    <row r="36" spans="2:6" hidden="1" x14ac:dyDescent="0.25">
      <c r="B36" s="21">
        <v>9203</v>
      </c>
      <c r="C36" s="24">
        <v>46037</v>
      </c>
      <c r="D36" s="21" t="s">
        <v>277</v>
      </c>
      <c r="E36" s="21" t="s">
        <v>18</v>
      </c>
      <c r="F36" s="21">
        <v>8</v>
      </c>
    </row>
    <row r="37" spans="2:6" hidden="1" x14ac:dyDescent="0.25">
      <c r="B37" s="21">
        <v>2445</v>
      </c>
      <c r="C37" s="43">
        <v>46037</v>
      </c>
      <c r="D37" s="43" t="s">
        <v>436</v>
      </c>
      <c r="E37" s="21" t="s">
        <v>196</v>
      </c>
      <c r="F37" s="29">
        <v>-121</v>
      </c>
    </row>
    <row r="38" spans="2:6" hidden="1" x14ac:dyDescent="0.25">
      <c r="B38" s="21">
        <v>9203</v>
      </c>
      <c r="C38" s="24">
        <v>46038</v>
      </c>
      <c r="D38" s="21" t="s">
        <v>70</v>
      </c>
      <c r="E38" s="21" t="s">
        <v>18</v>
      </c>
      <c r="F38" s="21">
        <v>32.25</v>
      </c>
    </row>
    <row r="39" spans="2:6" hidden="1" x14ac:dyDescent="0.25">
      <c r="B39" s="21">
        <v>9203</v>
      </c>
      <c r="C39" s="24">
        <v>46038</v>
      </c>
      <c r="D39" s="21" t="s">
        <v>294</v>
      </c>
      <c r="E39" s="21" t="s">
        <v>11</v>
      </c>
      <c r="F39" s="21">
        <v>5</v>
      </c>
    </row>
    <row r="40" spans="2:6" hidden="1" x14ac:dyDescent="0.25">
      <c r="B40" s="21">
        <v>9495</v>
      </c>
      <c r="C40" s="43">
        <v>46038</v>
      </c>
      <c r="D40" s="43" t="s">
        <v>361</v>
      </c>
      <c r="E40" s="21" t="s">
        <v>75</v>
      </c>
      <c r="F40" s="29">
        <v>16.989999999999998</v>
      </c>
    </row>
    <row r="41" spans="2:6" hidden="1" x14ac:dyDescent="0.25">
      <c r="B41" s="21">
        <v>2445</v>
      </c>
      <c r="C41" s="43">
        <v>46038</v>
      </c>
      <c r="D41" s="43" t="s">
        <v>437</v>
      </c>
      <c r="E41" s="21" t="s">
        <v>18</v>
      </c>
      <c r="F41" s="29">
        <v>-64.5</v>
      </c>
    </row>
    <row r="42" spans="2:6" hidden="1" x14ac:dyDescent="0.25">
      <c r="C42" s="24">
        <v>46040</v>
      </c>
      <c r="D42" s="21" t="s">
        <v>279</v>
      </c>
      <c r="E42" s="21" t="s">
        <v>10</v>
      </c>
      <c r="F42" s="21">
        <v>-5.2</v>
      </c>
    </row>
    <row r="43" spans="2:6" hidden="1" x14ac:dyDescent="0.25">
      <c r="B43" s="21">
        <v>9495</v>
      </c>
      <c r="C43" s="43">
        <v>46040</v>
      </c>
      <c r="D43" s="43" t="s">
        <v>319</v>
      </c>
      <c r="E43" s="21" t="s">
        <v>6</v>
      </c>
      <c r="F43" s="29">
        <v>96.03</v>
      </c>
    </row>
    <row r="44" spans="2:6" hidden="1" x14ac:dyDescent="0.25">
      <c r="B44" s="21">
        <v>9495</v>
      </c>
      <c r="C44" s="43">
        <v>46040</v>
      </c>
      <c r="D44" s="43" t="s">
        <v>405</v>
      </c>
      <c r="E44" s="21" t="s">
        <v>6</v>
      </c>
      <c r="F44" s="29">
        <v>294.10000000000002</v>
      </c>
    </row>
    <row r="45" spans="2:6" hidden="1" x14ac:dyDescent="0.25">
      <c r="B45" s="21">
        <v>31005</v>
      </c>
      <c r="C45" s="43">
        <v>46040</v>
      </c>
      <c r="D45" s="43" t="s">
        <v>507</v>
      </c>
      <c r="E45" s="21" t="s">
        <v>268</v>
      </c>
      <c r="F45" s="21">
        <v>119.98</v>
      </c>
    </row>
    <row r="46" spans="2:6" hidden="1" x14ac:dyDescent="0.25">
      <c r="B46" s="21">
        <v>31005</v>
      </c>
      <c r="C46" s="43">
        <v>46041</v>
      </c>
      <c r="D46" s="43" t="s">
        <v>468</v>
      </c>
      <c r="E46" s="21" t="s">
        <v>14</v>
      </c>
      <c r="F46" s="21">
        <v>10</v>
      </c>
    </row>
    <row r="47" spans="2:6" hidden="1" x14ac:dyDescent="0.25">
      <c r="B47" s="21">
        <v>9495</v>
      </c>
      <c r="C47" s="43">
        <v>46041</v>
      </c>
      <c r="D47" s="43" t="s">
        <v>404</v>
      </c>
      <c r="E47" s="21" t="s">
        <v>268</v>
      </c>
      <c r="F47" s="29">
        <v>15.1</v>
      </c>
    </row>
    <row r="48" spans="2:6" hidden="1" x14ac:dyDescent="0.25">
      <c r="B48" s="21">
        <v>9495</v>
      </c>
      <c r="C48" s="43">
        <v>46041</v>
      </c>
      <c r="D48" s="43" t="s">
        <v>404</v>
      </c>
      <c r="E48" s="21" t="s">
        <v>268</v>
      </c>
      <c r="F48" s="29">
        <v>182</v>
      </c>
    </row>
    <row r="49" spans="2:6" hidden="1" x14ac:dyDescent="0.25">
      <c r="B49" s="21">
        <v>31005</v>
      </c>
      <c r="C49" s="43">
        <v>46041</v>
      </c>
      <c r="D49" s="43" t="s">
        <v>193</v>
      </c>
      <c r="E49" s="21" t="s">
        <v>432</v>
      </c>
      <c r="F49" s="21">
        <v>-7</v>
      </c>
    </row>
    <row r="50" spans="2:6" hidden="1" x14ac:dyDescent="0.25">
      <c r="B50" s="21">
        <v>31005</v>
      </c>
      <c r="C50" s="27">
        <v>46041</v>
      </c>
      <c r="D50" s="43" t="s">
        <v>506</v>
      </c>
      <c r="E50" s="21" t="s">
        <v>9</v>
      </c>
      <c r="F50" s="21">
        <v>12.31</v>
      </c>
    </row>
    <row r="51" spans="2:6" hidden="1" x14ac:dyDescent="0.25">
      <c r="B51" s="21">
        <v>31005</v>
      </c>
      <c r="C51" s="43">
        <v>46042</v>
      </c>
      <c r="D51" s="43" t="s">
        <v>504</v>
      </c>
      <c r="E51" s="21" t="s">
        <v>7</v>
      </c>
      <c r="F51" s="21">
        <v>80.319999999999993</v>
      </c>
    </row>
    <row r="52" spans="2:6" hidden="1" x14ac:dyDescent="0.25">
      <c r="B52" s="21">
        <v>31005</v>
      </c>
      <c r="C52" s="43">
        <v>46042</v>
      </c>
      <c r="D52" s="43" t="s">
        <v>505</v>
      </c>
      <c r="E52" s="21" t="s">
        <v>7</v>
      </c>
      <c r="F52" s="21">
        <v>147.19999999999999</v>
      </c>
    </row>
    <row r="53" spans="2:6" hidden="1" x14ac:dyDescent="0.25">
      <c r="B53" s="21">
        <v>2445</v>
      </c>
      <c r="C53" s="43">
        <v>46042</v>
      </c>
      <c r="D53" s="43" t="s">
        <v>466</v>
      </c>
      <c r="E53" s="21" t="s">
        <v>196</v>
      </c>
      <c r="F53" s="29">
        <v>51.19</v>
      </c>
    </row>
    <row r="54" spans="2:6" hidden="1" x14ac:dyDescent="0.25">
      <c r="B54" s="21">
        <v>2445</v>
      </c>
      <c r="C54" s="43">
        <v>46042</v>
      </c>
      <c r="D54" s="43" t="s">
        <v>436</v>
      </c>
      <c r="E54" s="21" t="s">
        <v>196</v>
      </c>
      <c r="F54" s="29">
        <v>-40.200000000000003</v>
      </c>
    </row>
    <row r="55" spans="2:6" hidden="1" x14ac:dyDescent="0.25">
      <c r="B55" s="21">
        <v>2445</v>
      </c>
      <c r="C55" s="43">
        <v>46042</v>
      </c>
      <c r="D55" s="43" t="s">
        <v>436</v>
      </c>
      <c r="E55" s="21" t="s">
        <v>196</v>
      </c>
      <c r="F55" s="29">
        <v>-101</v>
      </c>
    </row>
    <row r="56" spans="2:6" hidden="1" x14ac:dyDescent="0.25">
      <c r="B56" s="21">
        <v>2445</v>
      </c>
      <c r="C56" s="43">
        <v>46042</v>
      </c>
      <c r="D56" s="43" t="s">
        <v>436</v>
      </c>
      <c r="E56" s="21" t="s">
        <v>196</v>
      </c>
      <c r="F56" s="29">
        <v>-157.41</v>
      </c>
    </row>
    <row r="57" spans="2:6" hidden="1" x14ac:dyDescent="0.25">
      <c r="B57" s="21">
        <v>9495</v>
      </c>
      <c r="C57" s="43">
        <v>46043</v>
      </c>
      <c r="D57" s="43" t="s">
        <v>86</v>
      </c>
      <c r="E57" s="21" t="s">
        <v>44</v>
      </c>
      <c r="F57" s="29">
        <v>45.19</v>
      </c>
    </row>
    <row r="58" spans="2:6" hidden="1" x14ac:dyDescent="0.25">
      <c r="B58" s="21">
        <v>9495</v>
      </c>
      <c r="C58" s="43">
        <v>46043</v>
      </c>
      <c r="D58" s="43" t="s">
        <v>395</v>
      </c>
      <c r="E58" s="21" t="s">
        <v>27</v>
      </c>
      <c r="F58" s="29">
        <v>-7</v>
      </c>
    </row>
    <row r="59" spans="2:6" hidden="1" x14ac:dyDescent="0.25">
      <c r="B59" s="21">
        <v>9495</v>
      </c>
      <c r="C59" s="43">
        <v>46043</v>
      </c>
      <c r="D59" s="43" t="s">
        <v>277</v>
      </c>
      <c r="E59" s="21" t="s">
        <v>18</v>
      </c>
      <c r="F59" s="29">
        <v>7</v>
      </c>
    </row>
    <row r="60" spans="2:6" hidden="1" x14ac:dyDescent="0.25">
      <c r="B60" s="21">
        <v>2445</v>
      </c>
      <c r="C60" s="43">
        <v>46043</v>
      </c>
      <c r="D60" s="43" t="s">
        <v>465</v>
      </c>
      <c r="E60" s="21" t="s">
        <v>44</v>
      </c>
      <c r="F60" s="29">
        <v>0.05</v>
      </c>
    </row>
    <row r="61" spans="2:6" hidden="1" x14ac:dyDescent="0.25">
      <c r="B61" s="21">
        <v>2445</v>
      </c>
      <c r="C61" s="43">
        <v>46043</v>
      </c>
      <c r="D61" s="43" t="s">
        <v>437</v>
      </c>
      <c r="E61" s="21" t="s">
        <v>18</v>
      </c>
      <c r="F61" s="29">
        <v>-80.5</v>
      </c>
    </row>
    <row r="62" spans="2:6" hidden="1" x14ac:dyDescent="0.25">
      <c r="B62" s="21">
        <v>2445</v>
      </c>
      <c r="C62" s="43">
        <v>46043</v>
      </c>
      <c r="D62" s="43" t="s">
        <v>440</v>
      </c>
      <c r="E62" s="21" t="s">
        <v>44</v>
      </c>
      <c r="F62" s="29">
        <v>-104</v>
      </c>
    </row>
    <row r="63" spans="2:6" hidden="1" x14ac:dyDescent="0.25">
      <c r="B63" s="21">
        <v>2445</v>
      </c>
      <c r="C63" s="43">
        <v>46043</v>
      </c>
      <c r="D63" s="43" t="s">
        <v>436</v>
      </c>
      <c r="E63" s="21" t="s">
        <v>196</v>
      </c>
      <c r="F63" s="29">
        <v>-138.68</v>
      </c>
    </row>
    <row r="64" spans="2:6" hidden="1" x14ac:dyDescent="0.25">
      <c r="B64" s="21">
        <v>6549</v>
      </c>
      <c r="C64" s="24">
        <v>46044</v>
      </c>
      <c r="D64" s="21" t="s">
        <v>334</v>
      </c>
      <c r="E64" s="21" t="s">
        <v>75</v>
      </c>
      <c r="F64" s="21">
        <v>-93.98</v>
      </c>
    </row>
    <row r="65" spans="1:6" hidden="1" x14ac:dyDescent="0.25">
      <c r="B65" s="21">
        <v>31005</v>
      </c>
      <c r="C65" s="43">
        <v>46044</v>
      </c>
      <c r="D65" s="43" t="s">
        <v>503</v>
      </c>
      <c r="E65" s="21" t="s">
        <v>10</v>
      </c>
      <c r="F65" s="21">
        <v>29.13</v>
      </c>
    </row>
    <row r="66" spans="1:6" hidden="1" x14ac:dyDescent="0.25">
      <c r="B66" s="21">
        <v>9495</v>
      </c>
      <c r="C66" s="43">
        <v>46045</v>
      </c>
      <c r="D66" s="43" t="s">
        <v>395</v>
      </c>
      <c r="E66" s="21" t="s">
        <v>27</v>
      </c>
      <c r="F66" s="29">
        <v>-32.25</v>
      </c>
    </row>
    <row r="67" spans="1:6" hidden="1" x14ac:dyDescent="0.25">
      <c r="B67" s="21">
        <v>9495</v>
      </c>
      <c r="C67" s="43">
        <v>46045</v>
      </c>
      <c r="D67" s="43" t="s">
        <v>70</v>
      </c>
      <c r="E67" s="21" t="s">
        <v>18</v>
      </c>
      <c r="F67" s="29">
        <v>32.25</v>
      </c>
    </row>
    <row r="68" spans="1:6" hidden="1" x14ac:dyDescent="0.25">
      <c r="B68" s="21">
        <v>31005</v>
      </c>
      <c r="C68" s="43">
        <v>46045</v>
      </c>
      <c r="D68" s="43" t="s">
        <v>502</v>
      </c>
      <c r="E68" s="21" t="s">
        <v>10</v>
      </c>
      <c r="F68" s="21">
        <v>14.99</v>
      </c>
    </row>
    <row r="69" spans="1:6" hidden="1" x14ac:dyDescent="0.25">
      <c r="B69" s="21">
        <v>31005</v>
      </c>
      <c r="C69" s="43">
        <v>46046</v>
      </c>
      <c r="D69" s="43" t="s">
        <v>501</v>
      </c>
      <c r="E69" s="21" t="s">
        <v>432</v>
      </c>
      <c r="F69" s="21">
        <v>-50</v>
      </c>
    </row>
    <row r="70" spans="1:6" hidden="1" x14ac:dyDescent="0.25">
      <c r="B70" s="21">
        <v>31005</v>
      </c>
      <c r="C70" s="43">
        <v>46046</v>
      </c>
      <c r="D70" s="43" t="s">
        <v>487</v>
      </c>
      <c r="E70" s="21" t="s">
        <v>6</v>
      </c>
      <c r="F70" s="21">
        <v>52.04</v>
      </c>
    </row>
    <row r="71" spans="1:6" hidden="1" x14ac:dyDescent="0.25">
      <c r="B71" s="21">
        <v>31005</v>
      </c>
      <c r="C71" s="27">
        <v>46046</v>
      </c>
      <c r="D71" s="43" t="s">
        <v>489</v>
      </c>
      <c r="E71" s="21" t="s">
        <v>9</v>
      </c>
      <c r="F71" s="21">
        <v>55.25</v>
      </c>
    </row>
    <row r="72" spans="1:6" hidden="1" x14ac:dyDescent="0.25">
      <c r="B72" s="21">
        <v>31005</v>
      </c>
      <c r="C72" s="43">
        <v>46046</v>
      </c>
      <c r="D72" s="43" t="s">
        <v>205</v>
      </c>
      <c r="E72" s="21" t="s">
        <v>16</v>
      </c>
      <c r="F72" s="21">
        <v>9.91</v>
      </c>
    </row>
    <row r="73" spans="1:6" hidden="1" x14ac:dyDescent="0.25">
      <c r="B73" s="21">
        <v>31005</v>
      </c>
      <c r="C73" s="43">
        <v>46046</v>
      </c>
      <c r="D73" s="43" t="s">
        <v>205</v>
      </c>
      <c r="E73" s="21" t="s">
        <v>16</v>
      </c>
      <c r="F73" s="21">
        <v>10.96</v>
      </c>
    </row>
    <row r="74" spans="1:6" hidden="1" x14ac:dyDescent="0.25">
      <c r="B74" s="21">
        <v>6549</v>
      </c>
      <c r="C74" s="24">
        <v>46047</v>
      </c>
      <c r="D74" s="21" t="s">
        <v>297</v>
      </c>
      <c r="E74" s="21" t="s">
        <v>10</v>
      </c>
      <c r="F74" s="21">
        <v>-15.93</v>
      </c>
    </row>
    <row r="75" spans="1:6" hidden="1" x14ac:dyDescent="0.25">
      <c r="A75" s="51"/>
      <c r="B75" s="51">
        <v>9203</v>
      </c>
      <c r="C75" s="43">
        <v>46047</v>
      </c>
      <c r="D75" s="43" t="s">
        <v>333</v>
      </c>
      <c r="E75" s="51" t="s">
        <v>11</v>
      </c>
      <c r="F75" s="21">
        <v>6.9</v>
      </c>
    </row>
    <row r="76" spans="1:6" hidden="1" x14ac:dyDescent="0.25">
      <c r="A76" s="51"/>
      <c r="B76" s="51">
        <v>9203</v>
      </c>
      <c r="C76" s="43">
        <v>46047</v>
      </c>
      <c r="D76" s="43" t="s">
        <v>279</v>
      </c>
      <c r="E76" s="51" t="s">
        <v>44</v>
      </c>
      <c r="F76" s="21">
        <v>5.89</v>
      </c>
    </row>
    <row r="77" spans="1:6" hidden="1" x14ac:dyDescent="0.25">
      <c r="A77" s="51"/>
      <c r="B77" s="51">
        <v>9495</v>
      </c>
      <c r="C77" s="43">
        <v>46047</v>
      </c>
      <c r="D77" s="43" t="s">
        <v>398</v>
      </c>
      <c r="E77" s="51" t="s">
        <v>44</v>
      </c>
      <c r="F77" s="29">
        <v>4.05</v>
      </c>
    </row>
    <row r="78" spans="1:6" hidden="1" x14ac:dyDescent="0.25">
      <c r="B78" s="21">
        <v>9495</v>
      </c>
      <c r="C78" s="43">
        <v>46047</v>
      </c>
      <c r="D78" s="43" t="s">
        <v>401</v>
      </c>
      <c r="E78" s="21" t="s">
        <v>44</v>
      </c>
      <c r="F78" s="29">
        <v>4.24</v>
      </c>
    </row>
    <row r="79" spans="1:6" hidden="1" x14ac:dyDescent="0.25">
      <c r="B79" s="21">
        <v>9495</v>
      </c>
      <c r="C79" s="43">
        <v>46047</v>
      </c>
      <c r="D79" s="43" t="s">
        <v>395</v>
      </c>
      <c r="E79" s="21" t="s">
        <v>27</v>
      </c>
      <c r="F79" s="29">
        <v>-32.25</v>
      </c>
    </row>
    <row r="80" spans="1:6" hidden="1" x14ac:dyDescent="0.25">
      <c r="B80" s="21">
        <v>9495</v>
      </c>
      <c r="C80" s="43">
        <v>46047</v>
      </c>
      <c r="D80" s="43" t="s">
        <v>70</v>
      </c>
      <c r="E80" s="21" t="s">
        <v>18</v>
      </c>
      <c r="F80" s="29">
        <v>32.25</v>
      </c>
    </row>
    <row r="81" spans="2:6" hidden="1" x14ac:dyDescent="0.25">
      <c r="B81" s="21">
        <v>9495</v>
      </c>
      <c r="C81" s="43">
        <v>46047</v>
      </c>
      <c r="D81" s="43" t="s">
        <v>402</v>
      </c>
      <c r="E81" s="21" t="s">
        <v>432</v>
      </c>
      <c r="F81" s="29">
        <v>-150</v>
      </c>
    </row>
    <row r="82" spans="2:6" hidden="1" x14ac:dyDescent="0.25">
      <c r="B82" s="21">
        <v>9495</v>
      </c>
      <c r="C82" s="43">
        <v>46047</v>
      </c>
      <c r="D82" s="43" t="s">
        <v>403</v>
      </c>
      <c r="E82" s="21" t="s">
        <v>9</v>
      </c>
      <c r="F82" s="29">
        <v>153.4</v>
      </c>
    </row>
    <row r="83" spans="2:6" hidden="1" x14ac:dyDescent="0.25">
      <c r="B83" s="21">
        <v>9203</v>
      </c>
      <c r="C83" s="43">
        <v>46048</v>
      </c>
      <c r="D83" s="43" t="s">
        <v>332</v>
      </c>
      <c r="E83" s="21" t="s">
        <v>75</v>
      </c>
      <c r="F83" s="21">
        <v>-20</v>
      </c>
    </row>
    <row r="84" spans="2:6" hidden="1" x14ac:dyDescent="0.25">
      <c r="B84" s="21">
        <v>2445</v>
      </c>
      <c r="C84" s="43">
        <v>46048</v>
      </c>
      <c r="D84" s="43" t="s">
        <v>464</v>
      </c>
      <c r="E84" s="21" t="s">
        <v>196</v>
      </c>
      <c r="F84" s="29">
        <v>596</v>
      </c>
    </row>
    <row r="85" spans="2:6" hidden="1" x14ac:dyDescent="0.25">
      <c r="B85" s="21">
        <v>2445</v>
      </c>
      <c r="C85" s="43">
        <v>46048</v>
      </c>
      <c r="D85" s="43" t="s">
        <v>436</v>
      </c>
      <c r="E85" s="21" t="s">
        <v>196</v>
      </c>
      <c r="F85" s="29">
        <v>-25.83</v>
      </c>
    </row>
    <row r="86" spans="2:6" hidden="1" x14ac:dyDescent="0.25">
      <c r="B86" s="21">
        <v>2445</v>
      </c>
      <c r="C86" s="43">
        <v>46049</v>
      </c>
      <c r="D86" s="43" t="s">
        <v>440</v>
      </c>
      <c r="E86" s="21" t="s">
        <v>44</v>
      </c>
      <c r="F86" s="29">
        <v>-13.1</v>
      </c>
    </row>
    <row r="87" spans="2:6" hidden="1" x14ac:dyDescent="0.25">
      <c r="B87" s="21">
        <v>9495</v>
      </c>
      <c r="C87" s="43">
        <v>46050</v>
      </c>
      <c r="D87" s="43" t="s">
        <v>395</v>
      </c>
      <c r="E87" s="21" t="s">
        <v>27</v>
      </c>
      <c r="F87" s="29">
        <v>-9</v>
      </c>
    </row>
    <row r="88" spans="2:6" hidden="1" x14ac:dyDescent="0.25">
      <c r="B88" s="21">
        <v>9495</v>
      </c>
      <c r="C88" s="43">
        <v>46050</v>
      </c>
      <c r="D88" s="43" t="s">
        <v>400</v>
      </c>
      <c r="E88" s="21" t="s">
        <v>18</v>
      </c>
      <c r="F88" s="29">
        <v>9</v>
      </c>
    </row>
    <row r="89" spans="2:6" hidden="1" x14ac:dyDescent="0.25">
      <c r="B89" s="21">
        <v>2445</v>
      </c>
      <c r="C89" s="43">
        <v>46050</v>
      </c>
      <c r="D89" s="43" t="s">
        <v>437</v>
      </c>
      <c r="E89" s="21" t="s">
        <v>18</v>
      </c>
      <c r="F89" s="29">
        <v>-71.5</v>
      </c>
    </row>
    <row r="90" spans="2:6" hidden="1" x14ac:dyDescent="0.25">
      <c r="B90" s="21">
        <v>31005</v>
      </c>
      <c r="C90" s="27">
        <v>46050</v>
      </c>
      <c r="D90" s="43" t="s">
        <v>470</v>
      </c>
      <c r="E90" s="21" t="s">
        <v>9</v>
      </c>
      <c r="F90" s="21">
        <v>12.57</v>
      </c>
    </row>
    <row r="91" spans="2:6" hidden="1" x14ac:dyDescent="0.25">
      <c r="B91" s="21">
        <v>31005</v>
      </c>
      <c r="C91" s="43">
        <v>46051</v>
      </c>
      <c r="D91" s="43" t="s">
        <v>498</v>
      </c>
      <c r="E91" s="21" t="s">
        <v>14</v>
      </c>
      <c r="F91" s="21">
        <v>1.67</v>
      </c>
    </row>
    <row r="92" spans="2:6" hidden="1" x14ac:dyDescent="0.25">
      <c r="B92" s="21">
        <v>31005</v>
      </c>
      <c r="C92" s="43">
        <v>46051</v>
      </c>
      <c r="D92" s="43" t="s">
        <v>468</v>
      </c>
      <c r="E92" s="21" t="s">
        <v>14</v>
      </c>
      <c r="F92" s="21">
        <v>10</v>
      </c>
    </row>
    <row r="93" spans="2:6" hidden="1" x14ac:dyDescent="0.25">
      <c r="B93" s="21">
        <v>31005</v>
      </c>
      <c r="C93" s="43">
        <v>46051</v>
      </c>
      <c r="D93" s="43" t="s">
        <v>475</v>
      </c>
      <c r="E93" s="21" t="s">
        <v>6</v>
      </c>
      <c r="F93" s="21">
        <v>19.97</v>
      </c>
    </row>
    <row r="94" spans="2:6" hidden="1" x14ac:dyDescent="0.25">
      <c r="B94" s="21">
        <v>31005</v>
      </c>
      <c r="C94" s="43">
        <v>46051</v>
      </c>
      <c r="D94" s="43" t="s">
        <v>500</v>
      </c>
      <c r="E94" s="21" t="s">
        <v>6</v>
      </c>
      <c r="F94" s="21">
        <v>209.1</v>
      </c>
    </row>
    <row r="95" spans="2:6" hidden="1" x14ac:dyDescent="0.25">
      <c r="B95" s="21">
        <v>9495</v>
      </c>
      <c r="C95" s="43">
        <v>46051</v>
      </c>
      <c r="D95" s="43" t="s">
        <v>63</v>
      </c>
      <c r="E95" s="21" t="s">
        <v>11</v>
      </c>
      <c r="F95" s="29">
        <v>26.1</v>
      </c>
    </row>
    <row r="96" spans="2:6" hidden="1" x14ac:dyDescent="0.25">
      <c r="B96" s="21">
        <v>9495</v>
      </c>
      <c r="C96" s="43">
        <v>46051</v>
      </c>
      <c r="D96" s="43" t="s">
        <v>395</v>
      </c>
      <c r="E96" s="21" t="s">
        <v>27</v>
      </c>
      <c r="F96" s="29">
        <v>-8</v>
      </c>
    </row>
    <row r="97" spans="2:6" hidden="1" x14ac:dyDescent="0.25">
      <c r="B97" s="21">
        <v>9495</v>
      </c>
      <c r="C97" s="43">
        <v>46051</v>
      </c>
      <c r="D97" s="43" t="s">
        <v>277</v>
      </c>
      <c r="E97" s="21" t="s">
        <v>18</v>
      </c>
      <c r="F97" s="29">
        <v>8</v>
      </c>
    </row>
    <row r="98" spans="2:6" hidden="1" x14ac:dyDescent="0.25">
      <c r="B98" s="21">
        <v>2445</v>
      </c>
      <c r="C98" s="43">
        <v>46051</v>
      </c>
      <c r="D98" s="43" t="s">
        <v>463</v>
      </c>
      <c r="E98" s="21" t="s">
        <v>196</v>
      </c>
      <c r="F98" s="29">
        <v>61.6</v>
      </c>
    </row>
    <row r="99" spans="2:6" hidden="1" x14ac:dyDescent="0.25">
      <c r="B99" s="21">
        <v>31005</v>
      </c>
      <c r="C99" s="43">
        <v>46051</v>
      </c>
      <c r="D99" s="43" t="s">
        <v>497</v>
      </c>
      <c r="E99" s="21" t="s">
        <v>9</v>
      </c>
      <c r="F99" s="21">
        <v>15.09</v>
      </c>
    </row>
    <row r="100" spans="2:6" hidden="1" x14ac:dyDescent="0.25">
      <c r="B100" s="21">
        <v>31005</v>
      </c>
      <c r="C100" s="43">
        <v>46051</v>
      </c>
      <c r="D100" s="43" t="s">
        <v>499</v>
      </c>
      <c r="E100" s="21" t="s">
        <v>10</v>
      </c>
      <c r="F100" s="21">
        <v>20.25</v>
      </c>
    </row>
    <row r="101" spans="2:6" hidden="1" x14ac:dyDescent="0.25">
      <c r="B101" s="21">
        <v>5676</v>
      </c>
      <c r="C101" s="27">
        <v>46062</v>
      </c>
      <c r="D101" s="43" t="s">
        <v>522</v>
      </c>
      <c r="E101" s="21" t="s">
        <v>584</v>
      </c>
      <c r="F101" s="28">
        <v>1969.79</v>
      </c>
    </row>
    <row r="102" spans="2:6" ht="15.75" hidden="1" thickBot="1" x14ac:dyDescent="0.3">
      <c r="B102" s="21">
        <v>2445</v>
      </c>
      <c r="C102" s="43">
        <v>46052</v>
      </c>
      <c r="D102" s="43" t="s">
        <v>331</v>
      </c>
      <c r="E102" s="21" t="s">
        <v>11</v>
      </c>
      <c r="F102" s="52">
        <v>-25</v>
      </c>
    </row>
    <row r="103" spans="2:6" hidden="1" x14ac:dyDescent="0.25">
      <c r="B103" s="21">
        <v>2445</v>
      </c>
      <c r="C103" s="43">
        <v>46052</v>
      </c>
      <c r="D103" s="43" t="s">
        <v>462</v>
      </c>
      <c r="E103" s="21" t="s">
        <v>196</v>
      </c>
      <c r="F103" s="29">
        <v>35</v>
      </c>
    </row>
    <row r="104" spans="2:6" hidden="1" x14ac:dyDescent="0.25">
      <c r="B104" s="21">
        <v>31005</v>
      </c>
      <c r="C104" s="43">
        <v>46052</v>
      </c>
      <c r="D104" s="43" t="s">
        <v>496</v>
      </c>
      <c r="E104" s="21" t="s">
        <v>9</v>
      </c>
      <c r="F104" s="21">
        <v>11.61</v>
      </c>
    </row>
    <row r="105" spans="2:6" hidden="1" x14ac:dyDescent="0.25">
      <c r="B105" s="21">
        <v>9495</v>
      </c>
      <c r="C105" s="43">
        <v>46054</v>
      </c>
      <c r="D105" s="43" t="s">
        <v>395</v>
      </c>
      <c r="E105" s="21" t="s">
        <v>27</v>
      </c>
      <c r="F105" s="29">
        <v>-13.03</v>
      </c>
    </row>
    <row r="106" spans="2:6" hidden="1" x14ac:dyDescent="0.25">
      <c r="B106" s="21">
        <v>9495</v>
      </c>
      <c r="C106" s="43">
        <v>46054</v>
      </c>
      <c r="D106" s="43" t="s">
        <v>399</v>
      </c>
      <c r="E106" s="21" t="s">
        <v>27</v>
      </c>
      <c r="F106" s="29">
        <v>13.03</v>
      </c>
    </row>
    <row r="107" spans="2:6" hidden="1" x14ac:dyDescent="0.25">
      <c r="B107" s="21">
        <v>9203</v>
      </c>
      <c r="C107" s="43">
        <v>46055</v>
      </c>
      <c r="D107" s="43" t="s">
        <v>326</v>
      </c>
      <c r="E107" s="21" t="s">
        <v>6</v>
      </c>
      <c r="F107" s="21">
        <v>12.99</v>
      </c>
    </row>
    <row r="108" spans="2:6" hidden="1" x14ac:dyDescent="0.25">
      <c r="B108" s="21">
        <v>9495</v>
      </c>
      <c r="C108" s="43">
        <v>46055</v>
      </c>
      <c r="D108" s="43" t="s">
        <v>431</v>
      </c>
      <c r="E108" s="21" t="s">
        <v>44</v>
      </c>
      <c r="F108" s="29">
        <v>64.13</v>
      </c>
    </row>
    <row r="109" spans="2:6" hidden="1" x14ac:dyDescent="0.25">
      <c r="B109" s="21">
        <v>2445</v>
      </c>
      <c r="C109" s="43">
        <v>46055</v>
      </c>
      <c r="D109" s="43" t="s">
        <v>315</v>
      </c>
      <c r="E109" s="21" t="s">
        <v>10</v>
      </c>
      <c r="F109" s="21">
        <v>-25</v>
      </c>
    </row>
    <row r="110" spans="2:6" hidden="1" x14ac:dyDescent="0.25">
      <c r="B110" s="21">
        <v>2445</v>
      </c>
      <c r="C110" s="43">
        <v>46055</v>
      </c>
      <c r="D110" s="43" t="s">
        <v>461</v>
      </c>
      <c r="E110" s="21" t="s">
        <v>196</v>
      </c>
      <c r="F110" s="29">
        <v>51</v>
      </c>
    </row>
    <row r="111" spans="2:6" hidden="1" x14ac:dyDescent="0.25">
      <c r="B111" s="21">
        <v>9495</v>
      </c>
      <c r="C111" s="43">
        <v>46056</v>
      </c>
      <c r="D111" s="43" t="s">
        <v>216</v>
      </c>
      <c r="E111" s="21" t="s">
        <v>11</v>
      </c>
      <c r="F111" s="29">
        <v>84.99</v>
      </c>
    </row>
    <row r="112" spans="2:6" hidden="1" x14ac:dyDescent="0.25">
      <c r="B112" s="21">
        <v>9495</v>
      </c>
      <c r="C112" s="43">
        <v>46056</v>
      </c>
      <c r="D112" s="43" t="s">
        <v>398</v>
      </c>
      <c r="E112" s="21" t="s">
        <v>44</v>
      </c>
      <c r="F112" s="29">
        <v>7.68</v>
      </c>
    </row>
    <row r="113" spans="2:6" hidden="1" x14ac:dyDescent="0.25">
      <c r="B113" s="21">
        <v>9495</v>
      </c>
      <c r="C113" s="43">
        <v>46056</v>
      </c>
      <c r="D113" s="43" t="s">
        <v>430</v>
      </c>
      <c r="E113" s="21" t="s">
        <v>9</v>
      </c>
      <c r="F113" s="29">
        <v>81.22</v>
      </c>
    </row>
    <row r="114" spans="2:6" hidden="1" x14ac:dyDescent="0.25">
      <c r="B114" s="21">
        <v>9495</v>
      </c>
      <c r="C114" s="43">
        <v>46056</v>
      </c>
      <c r="D114" s="43" t="s">
        <v>395</v>
      </c>
      <c r="E114" s="21" t="s">
        <v>27</v>
      </c>
      <c r="F114" s="29">
        <v>-32.25</v>
      </c>
    </row>
    <row r="115" spans="2:6" hidden="1" x14ac:dyDescent="0.25">
      <c r="B115" s="21">
        <v>9495</v>
      </c>
      <c r="C115" s="43">
        <v>46056</v>
      </c>
      <c r="D115" s="43" t="s">
        <v>70</v>
      </c>
      <c r="E115" s="21" t="s">
        <v>18</v>
      </c>
      <c r="F115" s="29">
        <v>32.25</v>
      </c>
    </row>
    <row r="116" spans="2:6" hidden="1" x14ac:dyDescent="0.25">
      <c r="B116" s="21">
        <v>2445</v>
      </c>
      <c r="C116" s="43">
        <v>46056</v>
      </c>
      <c r="D116" s="43" t="s">
        <v>440</v>
      </c>
      <c r="E116" s="21" t="s">
        <v>44</v>
      </c>
      <c r="F116" s="29">
        <v>-92.01</v>
      </c>
    </row>
    <row r="117" spans="2:6" hidden="1" x14ac:dyDescent="0.25">
      <c r="B117" s="21">
        <v>2445</v>
      </c>
      <c r="C117" s="43">
        <v>46056</v>
      </c>
      <c r="D117" s="43" t="s">
        <v>436</v>
      </c>
      <c r="E117" s="21" t="s">
        <v>196</v>
      </c>
      <c r="F117" s="29">
        <v>-123.26</v>
      </c>
    </row>
    <row r="118" spans="2:6" hidden="1" x14ac:dyDescent="0.25">
      <c r="B118" s="21">
        <v>31005</v>
      </c>
      <c r="C118" s="43">
        <v>46052</v>
      </c>
      <c r="D118" s="43" t="s">
        <v>495</v>
      </c>
      <c r="E118" s="21" t="s">
        <v>584</v>
      </c>
      <c r="F118" s="21">
        <v>659.25</v>
      </c>
    </row>
    <row r="119" spans="2:6" hidden="1" x14ac:dyDescent="0.25">
      <c r="B119" s="21">
        <v>9495</v>
      </c>
      <c r="C119" s="43">
        <v>46057</v>
      </c>
      <c r="D119" s="43" t="s">
        <v>395</v>
      </c>
      <c r="E119" s="21" t="s">
        <v>27</v>
      </c>
      <c r="F119" s="29">
        <v>-32.25</v>
      </c>
    </row>
    <row r="120" spans="2:6" hidden="1" x14ac:dyDescent="0.25">
      <c r="B120" s="21">
        <v>9495</v>
      </c>
      <c r="C120" s="43">
        <v>46057</v>
      </c>
      <c r="D120" s="43" t="s">
        <v>70</v>
      </c>
      <c r="E120" s="21" t="s">
        <v>18</v>
      </c>
      <c r="F120" s="29">
        <v>32.25</v>
      </c>
    </row>
    <row r="121" spans="2:6" hidden="1" x14ac:dyDescent="0.25">
      <c r="B121" s="21">
        <v>9495</v>
      </c>
      <c r="C121" s="43">
        <v>46057</v>
      </c>
      <c r="D121" s="43" t="s">
        <v>326</v>
      </c>
      <c r="E121" s="21" t="s">
        <v>6</v>
      </c>
      <c r="F121" s="29">
        <v>74.73</v>
      </c>
    </row>
    <row r="122" spans="2:6" hidden="1" x14ac:dyDescent="0.25">
      <c r="B122" s="21">
        <v>9495</v>
      </c>
      <c r="C122" s="43">
        <v>46057</v>
      </c>
      <c r="D122" s="43" t="s">
        <v>397</v>
      </c>
      <c r="E122" s="21" t="s">
        <v>75</v>
      </c>
      <c r="F122" s="29">
        <v>14.95</v>
      </c>
    </row>
    <row r="123" spans="2:6" hidden="1" x14ac:dyDescent="0.25">
      <c r="B123" s="21">
        <v>31005</v>
      </c>
      <c r="C123" s="27">
        <v>46058</v>
      </c>
      <c r="D123" s="43" t="s">
        <v>468</v>
      </c>
      <c r="E123" s="21" t="s">
        <v>14</v>
      </c>
      <c r="F123" s="21">
        <v>10</v>
      </c>
    </row>
    <row r="124" spans="2:6" hidden="1" x14ac:dyDescent="0.25">
      <c r="B124" s="21">
        <v>31005</v>
      </c>
      <c r="C124" s="27">
        <v>46058</v>
      </c>
      <c r="D124" s="43" t="s">
        <v>193</v>
      </c>
      <c r="E124" s="21" t="s">
        <v>432</v>
      </c>
      <c r="F124" s="21">
        <v>-7</v>
      </c>
    </row>
    <row r="125" spans="2:6" hidden="1" x14ac:dyDescent="0.25">
      <c r="B125" s="21">
        <v>9495</v>
      </c>
      <c r="C125" s="43">
        <v>46058</v>
      </c>
      <c r="D125" s="43" t="s">
        <v>395</v>
      </c>
      <c r="E125" s="21" t="s">
        <v>27</v>
      </c>
      <c r="F125" s="29">
        <v>-32.25</v>
      </c>
    </row>
    <row r="126" spans="2:6" hidden="1" x14ac:dyDescent="0.25">
      <c r="B126" s="21">
        <v>9495</v>
      </c>
      <c r="C126" s="43">
        <v>46058</v>
      </c>
      <c r="D126" s="43" t="s">
        <v>70</v>
      </c>
      <c r="E126" s="21" t="s">
        <v>18</v>
      </c>
      <c r="F126" s="29">
        <v>32.25</v>
      </c>
    </row>
    <row r="127" spans="2:6" hidden="1" x14ac:dyDescent="0.25">
      <c r="B127" s="21">
        <v>2445</v>
      </c>
      <c r="C127" s="27">
        <v>46058</v>
      </c>
      <c r="D127" s="43" t="s">
        <v>436</v>
      </c>
      <c r="E127" s="21" t="s">
        <v>196</v>
      </c>
      <c r="F127" s="28">
        <v>-35</v>
      </c>
    </row>
    <row r="128" spans="2:6" hidden="1" x14ac:dyDescent="0.25">
      <c r="B128" s="21">
        <v>31005</v>
      </c>
      <c r="C128" s="27">
        <v>46058</v>
      </c>
      <c r="D128" s="43" t="s">
        <v>205</v>
      </c>
      <c r="E128" s="21" t="s">
        <v>16</v>
      </c>
      <c r="F128" s="21">
        <v>8.43</v>
      </c>
    </row>
    <row r="129" spans="2:7" ht="15.75" hidden="1" thickBot="1" x14ac:dyDescent="0.3">
      <c r="B129" s="21">
        <v>9495</v>
      </c>
      <c r="C129" s="44">
        <v>46059</v>
      </c>
      <c r="D129" s="43" t="s">
        <v>395</v>
      </c>
      <c r="E129" s="53" t="s">
        <v>27</v>
      </c>
      <c r="F129" s="54">
        <v>-32.25</v>
      </c>
      <c r="G129" s="53"/>
    </row>
    <row r="130" spans="2:7" ht="15.75" hidden="1" thickBot="1" x14ac:dyDescent="0.3">
      <c r="B130" s="21">
        <v>9495</v>
      </c>
      <c r="C130" s="44">
        <v>46059</v>
      </c>
      <c r="D130" s="43" t="s">
        <v>70</v>
      </c>
      <c r="E130" s="53" t="s">
        <v>18</v>
      </c>
      <c r="F130" s="54">
        <v>32.25</v>
      </c>
      <c r="G130" s="53"/>
    </row>
    <row r="131" spans="2:7" ht="15.75" hidden="1" thickBot="1" x14ac:dyDescent="0.3">
      <c r="B131" s="21">
        <v>9203</v>
      </c>
      <c r="C131" s="44">
        <v>46061</v>
      </c>
      <c r="D131" s="43" t="s">
        <v>330</v>
      </c>
      <c r="E131" s="53" t="s">
        <v>10</v>
      </c>
      <c r="F131" s="52">
        <v>34.99</v>
      </c>
      <c r="G131" s="53"/>
    </row>
    <row r="132" spans="2:7" ht="15.75" hidden="1" thickBot="1" x14ac:dyDescent="0.3">
      <c r="B132" s="21">
        <v>9495</v>
      </c>
      <c r="C132" s="44">
        <v>46061</v>
      </c>
      <c r="D132" s="43" t="s">
        <v>395</v>
      </c>
      <c r="E132" s="53" t="s">
        <v>27</v>
      </c>
      <c r="F132" s="54">
        <v>-6.12</v>
      </c>
      <c r="G132" s="53"/>
    </row>
    <row r="133" spans="2:7" ht="15.75" hidden="1" thickBot="1" x14ac:dyDescent="0.3">
      <c r="B133" s="21">
        <v>9495</v>
      </c>
      <c r="C133" s="44">
        <v>46061</v>
      </c>
      <c r="D133" s="43" t="s">
        <v>396</v>
      </c>
      <c r="E133" s="53" t="s">
        <v>16</v>
      </c>
      <c r="F133" s="54">
        <v>6.12</v>
      </c>
      <c r="G133" s="53"/>
    </row>
    <row r="134" spans="2:7" ht="15.75" hidden="1" thickBot="1" x14ac:dyDescent="0.3">
      <c r="B134" s="21">
        <v>9495</v>
      </c>
      <c r="C134" s="44">
        <v>46062</v>
      </c>
      <c r="D134" s="43" t="s">
        <v>276</v>
      </c>
      <c r="E134" s="21" t="s">
        <v>6</v>
      </c>
      <c r="F134" s="54">
        <v>205.75</v>
      </c>
      <c r="G134" s="53"/>
    </row>
    <row r="135" spans="2:7" ht="15.75" hidden="1" thickBot="1" x14ac:dyDescent="0.3">
      <c r="B135" s="21">
        <v>5676</v>
      </c>
      <c r="C135" s="44">
        <v>46062</v>
      </c>
      <c r="D135" s="43" t="s">
        <v>534</v>
      </c>
      <c r="E135" s="53" t="s">
        <v>432</v>
      </c>
      <c r="F135" s="54">
        <v>95</v>
      </c>
      <c r="G135" s="53"/>
    </row>
    <row r="136" spans="2:7" hidden="1" x14ac:dyDescent="0.25">
      <c r="B136" s="21">
        <v>5676</v>
      </c>
      <c r="C136" s="45">
        <v>46090</v>
      </c>
      <c r="D136" s="43" t="s">
        <v>522</v>
      </c>
      <c r="E136" s="53" t="s">
        <v>584</v>
      </c>
      <c r="F136" s="55">
        <v>564.5</v>
      </c>
      <c r="G136" s="53"/>
    </row>
    <row r="137" spans="2:7" hidden="1" x14ac:dyDescent="0.25">
      <c r="B137" s="21">
        <v>9495</v>
      </c>
      <c r="C137" s="27">
        <v>46063</v>
      </c>
      <c r="D137" s="43" t="s">
        <v>279</v>
      </c>
      <c r="E137" s="21" t="s">
        <v>44</v>
      </c>
      <c r="F137" s="28">
        <v>5.96</v>
      </c>
    </row>
    <row r="138" spans="2:7" hidden="1" x14ac:dyDescent="0.25">
      <c r="B138" s="21">
        <v>2445</v>
      </c>
      <c r="C138" s="45">
        <v>46063</v>
      </c>
      <c r="D138" s="43" t="s">
        <v>440</v>
      </c>
      <c r="E138" s="30" t="s">
        <v>44</v>
      </c>
      <c r="F138" s="55">
        <v>-41.97</v>
      </c>
    </row>
    <row r="139" spans="2:7" hidden="1" x14ac:dyDescent="0.25">
      <c r="B139" s="30">
        <v>2445</v>
      </c>
      <c r="C139" s="43">
        <v>46063</v>
      </c>
      <c r="D139" s="43" t="s">
        <v>436</v>
      </c>
      <c r="E139" s="21" t="s">
        <v>196</v>
      </c>
      <c r="F139" s="29">
        <v>-75</v>
      </c>
    </row>
    <row r="140" spans="2:7" hidden="1" x14ac:dyDescent="0.25">
      <c r="B140" s="30">
        <v>9495</v>
      </c>
      <c r="C140" s="27">
        <v>46064</v>
      </c>
      <c r="D140" s="43" t="s">
        <v>395</v>
      </c>
      <c r="E140" s="21" t="s">
        <v>27</v>
      </c>
      <c r="F140" s="28">
        <v>18.23</v>
      </c>
    </row>
    <row r="141" spans="2:7" hidden="1" x14ac:dyDescent="0.25">
      <c r="B141" s="30">
        <v>9495</v>
      </c>
      <c r="C141" s="43">
        <v>46064</v>
      </c>
      <c r="D141" s="43" t="s">
        <v>373</v>
      </c>
      <c r="E141" s="21" t="s">
        <v>27</v>
      </c>
      <c r="F141" s="29">
        <v>25</v>
      </c>
    </row>
    <row r="142" spans="2:7" hidden="1" x14ac:dyDescent="0.25">
      <c r="B142" s="30">
        <v>9495</v>
      </c>
      <c r="C142" s="43">
        <v>46064</v>
      </c>
      <c r="D142" s="43" t="s">
        <v>285</v>
      </c>
      <c r="E142" s="21" t="s">
        <v>11</v>
      </c>
      <c r="F142" s="29">
        <v>12.92</v>
      </c>
    </row>
    <row r="143" spans="2:7" hidden="1" x14ac:dyDescent="0.25">
      <c r="B143" s="21">
        <v>9495</v>
      </c>
      <c r="C143" s="43">
        <v>46064</v>
      </c>
      <c r="D143" s="43" t="s">
        <v>429</v>
      </c>
      <c r="E143" s="21" t="s">
        <v>44</v>
      </c>
      <c r="F143" s="29">
        <v>46.88</v>
      </c>
    </row>
    <row r="144" spans="2:7" hidden="1" x14ac:dyDescent="0.25">
      <c r="B144" s="53">
        <v>9495</v>
      </c>
      <c r="C144" s="43">
        <v>46064</v>
      </c>
      <c r="D144" s="43" t="s">
        <v>395</v>
      </c>
      <c r="E144" s="21" t="s">
        <v>27</v>
      </c>
      <c r="F144" s="29">
        <v>-32.25</v>
      </c>
    </row>
    <row r="145" spans="2:6" hidden="1" x14ac:dyDescent="0.25">
      <c r="B145" s="21">
        <v>9495</v>
      </c>
      <c r="C145" s="43">
        <v>46064</v>
      </c>
      <c r="D145" s="43" t="s">
        <v>70</v>
      </c>
      <c r="E145" s="21" t="s">
        <v>18</v>
      </c>
      <c r="F145" s="29">
        <v>32.25</v>
      </c>
    </row>
    <row r="146" spans="2:6" hidden="1" x14ac:dyDescent="0.25">
      <c r="B146" s="21">
        <v>2445</v>
      </c>
      <c r="C146" s="43">
        <v>46064</v>
      </c>
      <c r="D146" s="43" t="s">
        <v>437</v>
      </c>
      <c r="E146" s="21" t="s">
        <v>18</v>
      </c>
      <c r="F146" s="29">
        <v>-129</v>
      </c>
    </row>
    <row r="147" spans="2:6" hidden="1" x14ac:dyDescent="0.25">
      <c r="B147" s="21">
        <v>5676</v>
      </c>
      <c r="C147" s="43">
        <v>46064</v>
      </c>
      <c r="D147" s="43" t="s">
        <v>533</v>
      </c>
      <c r="E147" s="21" t="s">
        <v>10</v>
      </c>
      <c r="F147" s="29">
        <v>116.86</v>
      </c>
    </row>
    <row r="148" spans="2:6" hidden="1" x14ac:dyDescent="0.25">
      <c r="B148" s="21">
        <v>9495</v>
      </c>
      <c r="C148" s="43">
        <v>46133</v>
      </c>
      <c r="D148" s="43" t="s">
        <v>379</v>
      </c>
      <c r="E148" s="21" t="s">
        <v>17</v>
      </c>
      <c r="F148" s="29">
        <v>71</v>
      </c>
    </row>
    <row r="149" spans="2:6" hidden="1" x14ac:dyDescent="0.25">
      <c r="B149" s="21">
        <v>9203</v>
      </c>
      <c r="C149" s="43">
        <v>46065</v>
      </c>
      <c r="D149" s="43" t="s">
        <v>315</v>
      </c>
      <c r="E149" s="21" t="s">
        <v>10</v>
      </c>
      <c r="F149" s="21">
        <v>25</v>
      </c>
    </row>
    <row r="150" spans="2:6" hidden="1" x14ac:dyDescent="0.25">
      <c r="B150" s="21">
        <v>9495</v>
      </c>
      <c r="C150" s="43">
        <v>46065</v>
      </c>
      <c r="D150" s="43" t="s">
        <v>285</v>
      </c>
      <c r="E150" s="21" t="s">
        <v>11</v>
      </c>
      <c r="F150" s="29">
        <v>22.25</v>
      </c>
    </row>
    <row r="151" spans="2:6" hidden="1" x14ac:dyDescent="0.25">
      <c r="B151" s="21">
        <v>9495</v>
      </c>
      <c r="C151" s="43">
        <v>46065</v>
      </c>
      <c r="D151" s="43" t="s">
        <v>70</v>
      </c>
      <c r="E151" s="21" t="s">
        <v>18</v>
      </c>
      <c r="F151" s="29">
        <v>32.25</v>
      </c>
    </row>
    <row r="152" spans="2:6" hidden="1" x14ac:dyDescent="0.25">
      <c r="B152" s="21">
        <v>9495</v>
      </c>
      <c r="C152" s="43">
        <v>46066</v>
      </c>
      <c r="D152" s="43" t="s">
        <v>70</v>
      </c>
      <c r="E152" s="21" t="s">
        <v>18</v>
      </c>
      <c r="F152" s="29">
        <v>32.25</v>
      </c>
    </row>
    <row r="153" spans="2:6" hidden="1" x14ac:dyDescent="0.25">
      <c r="B153" s="21">
        <v>9203</v>
      </c>
      <c r="C153" s="43">
        <v>46068</v>
      </c>
      <c r="D153" s="43" t="s">
        <v>294</v>
      </c>
      <c r="E153" s="21" t="s">
        <v>11</v>
      </c>
      <c r="F153" s="21">
        <v>5</v>
      </c>
    </row>
    <row r="154" spans="2:6" hidden="1" x14ac:dyDescent="0.25">
      <c r="B154" s="21">
        <v>9495</v>
      </c>
      <c r="C154" s="43">
        <v>46068</v>
      </c>
      <c r="D154" s="43" t="s">
        <v>428</v>
      </c>
      <c r="E154" s="21" t="s">
        <v>9</v>
      </c>
      <c r="F154" s="29">
        <v>5.9</v>
      </c>
    </row>
    <row r="155" spans="2:6" hidden="1" x14ac:dyDescent="0.25">
      <c r="B155" s="21">
        <v>9495</v>
      </c>
      <c r="C155" s="43">
        <v>46068</v>
      </c>
      <c r="D155" s="43" t="s">
        <v>86</v>
      </c>
      <c r="E155" s="21" t="s">
        <v>44</v>
      </c>
      <c r="F155" s="29">
        <v>26.87</v>
      </c>
    </row>
    <row r="156" spans="2:6" hidden="1" x14ac:dyDescent="0.25">
      <c r="B156" s="21">
        <v>9495</v>
      </c>
      <c r="C156" s="43">
        <v>46068</v>
      </c>
      <c r="D156" s="43" t="s">
        <v>279</v>
      </c>
      <c r="E156" s="21" t="s">
        <v>44</v>
      </c>
      <c r="F156" s="29">
        <v>6.24</v>
      </c>
    </row>
    <row r="157" spans="2:6" hidden="1" x14ac:dyDescent="0.25">
      <c r="B157" s="21">
        <v>9495</v>
      </c>
      <c r="C157" s="43">
        <v>46069</v>
      </c>
      <c r="D157" s="43" t="s">
        <v>361</v>
      </c>
      <c r="E157" s="21" t="s">
        <v>75</v>
      </c>
      <c r="F157" s="29">
        <v>18.989999999999998</v>
      </c>
    </row>
    <row r="158" spans="2:6" hidden="1" x14ac:dyDescent="0.25">
      <c r="B158" s="21">
        <v>9495</v>
      </c>
      <c r="C158" s="43">
        <v>46070</v>
      </c>
      <c r="D158" s="43" t="s">
        <v>427</v>
      </c>
      <c r="E158" s="21" t="s">
        <v>27</v>
      </c>
      <c r="F158" s="29">
        <v>203.79</v>
      </c>
    </row>
    <row r="159" spans="2:6" hidden="1" x14ac:dyDescent="0.25">
      <c r="B159" s="21">
        <v>2445</v>
      </c>
      <c r="C159" s="43">
        <v>46070</v>
      </c>
      <c r="D159" s="43" t="s">
        <v>437</v>
      </c>
      <c r="E159" s="21" t="s">
        <v>18</v>
      </c>
      <c r="F159" s="29">
        <v>-96.75</v>
      </c>
    </row>
    <row r="160" spans="2:6" hidden="1" x14ac:dyDescent="0.25">
      <c r="B160" s="21">
        <v>5676</v>
      </c>
      <c r="C160" s="43">
        <v>46070</v>
      </c>
      <c r="D160" s="43" t="s">
        <v>70</v>
      </c>
      <c r="E160" s="21" t="s">
        <v>18</v>
      </c>
      <c r="F160" s="29">
        <v>32.25</v>
      </c>
    </row>
    <row r="161" spans="2:6" hidden="1" x14ac:dyDescent="0.25">
      <c r="B161" s="21">
        <v>9495</v>
      </c>
      <c r="C161" s="43">
        <v>46071</v>
      </c>
      <c r="D161" s="43" t="s">
        <v>394</v>
      </c>
      <c r="E161" s="21" t="s">
        <v>432</v>
      </c>
      <c r="F161" s="29">
        <v>150</v>
      </c>
    </row>
    <row r="162" spans="2:6" hidden="1" x14ac:dyDescent="0.25">
      <c r="B162" s="21">
        <v>2445</v>
      </c>
      <c r="C162" s="43">
        <v>46071</v>
      </c>
      <c r="D162" s="43" t="s">
        <v>440</v>
      </c>
      <c r="E162" s="21" t="s">
        <v>44</v>
      </c>
      <c r="F162" s="29">
        <v>-30.41</v>
      </c>
    </row>
    <row r="163" spans="2:6" hidden="1" x14ac:dyDescent="0.25">
      <c r="B163" s="21">
        <v>5676</v>
      </c>
      <c r="C163" s="43">
        <v>46071</v>
      </c>
      <c r="D163" s="43" t="s">
        <v>70</v>
      </c>
      <c r="E163" s="21" t="s">
        <v>18</v>
      </c>
      <c r="F163" s="29">
        <v>32.25</v>
      </c>
    </row>
    <row r="164" spans="2:6" hidden="1" x14ac:dyDescent="0.25">
      <c r="B164" s="21">
        <v>9495</v>
      </c>
      <c r="C164" s="43">
        <v>46072</v>
      </c>
      <c r="D164" s="43" t="s">
        <v>63</v>
      </c>
      <c r="E164" s="53" t="s">
        <v>11</v>
      </c>
      <c r="F164" s="29">
        <v>26.1</v>
      </c>
    </row>
    <row r="165" spans="2:6" hidden="1" x14ac:dyDescent="0.25">
      <c r="B165" s="21">
        <v>2445</v>
      </c>
      <c r="C165" s="43">
        <v>46073</v>
      </c>
      <c r="D165" s="43" t="s">
        <v>436</v>
      </c>
      <c r="E165" s="21" t="s">
        <v>196</v>
      </c>
      <c r="F165" s="29">
        <v>-8.49</v>
      </c>
    </row>
    <row r="166" spans="2:6" hidden="1" x14ac:dyDescent="0.25">
      <c r="B166" s="21">
        <v>5676</v>
      </c>
      <c r="C166" s="43">
        <v>46073</v>
      </c>
      <c r="D166" s="43" t="s">
        <v>530</v>
      </c>
      <c r="E166" s="21" t="s">
        <v>14</v>
      </c>
      <c r="F166" s="29">
        <v>5.12</v>
      </c>
    </row>
    <row r="167" spans="2:6" hidden="1" x14ac:dyDescent="0.25">
      <c r="B167" s="21">
        <v>5676</v>
      </c>
      <c r="C167" s="43">
        <v>46073</v>
      </c>
      <c r="D167" s="43" t="s">
        <v>531</v>
      </c>
      <c r="E167" s="21" t="s">
        <v>12</v>
      </c>
      <c r="F167" s="29">
        <v>56.4</v>
      </c>
    </row>
    <row r="168" spans="2:6" hidden="1" x14ac:dyDescent="0.25">
      <c r="B168" s="21">
        <v>5676</v>
      </c>
      <c r="C168" s="43">
        <v>46073</v>
      </c>
      <c r="D168" s="43" t="s">
        <v>532</v>
      </c>
      <c r="E168" s="21" t="s">
        <v>6</v>
      </c>
      <c r="F168" s="29">
        <v>15.47</v>
      </c>
    </row>
    <row r="169" spans="2:6" hidden="1" x14ac:dyDescent="0.25">
      <c r="B169" s="21">
        <v>5676</v>
      </c>
      <c r="C169" s="43">
        <v>46073</v>
      </c>
      <c r="D169" s="43" t="s">
        <v>70</v>
      </c>
      <c r="E169" s="21" t="s">
        <v>18</v>
      </c>
      <c r="F169" s="29">
        <v>32.25</v>
      </c>
    </row>
    <row r="170" spans="2:6" hidden="1" x14ac:dyDescent="0.25">
      <c r="B170" s="21">
        <v>31005</v>
      </c>
      <c r="C170" s="43">
        <v>46074</v>
      </c>
      <c r="D170" s="43" t="s">
        <v>469</v>
      </c>
      <c r="E170" s="21" t="s">
        <v>75</v>
      </c>
      <c r="F170" s="21">
        <v>93.98</v>
      </c>
    </row>
    <row r="171" spans="2:6" hidden="1" x14ac:dyDescent="0.25">
      <c r="B171" s="21">
        <v>5676</v>
      </c>
      <c r="C171" s="43">
        <v>46074</v>
      </c>
      <c r="D171" s="43" t="s">
        <v>70</v>
      </c>
      <c r="E171" s="53" t="s">
        <v>18</v>
      </c>
      <c r="F171" s="29">
        <v>32.25</v>
      </c>
    </row>
    <row r="172" spans="2:6" hidden="1" x14ac:dyDescent="0.25">
      <c r="B172" s="21">
        <v>9203</v>
      </c>
      <c r="C172" s="43">
        <v>46075</v>
      </c>
      <c r="D172" s="43" t="s">
        <v>328</v>
      </c>
      <c r="E172" s="21" t="s">
        <v>10</v>
      </c>
      <c r="F172" s="21">
        <v>25.97</v>
      </c>
    </row>
    <row r="173" spans="2:6" hidden="1" x14ac:dyDescent="0.25">
      <c r="B173" s="21">
        <v>9495</v>
      </c>
      <c r="C173" s="43">
        <v>46075</v>
      </c>
      <c r="D173" s="43" t="s">
        <v>393</v>
      </c>
      <c r="E173" s="21" t="s">
        <v>27</v>
      </c>
      <c r="F173" s="29">
        <v>121.25</v>
      </c>
    </row>
    <row r="174" spans="2:6" hidden="1" x14ac:dyDescent="0.25">
      <c r="B174" s="21">
        <v>31005</v>
      </c>
      <c r="C174" s="27">
        <v>46075</v>
      </c>
      <c r="D174" s="43" t="s">
        <v>481</v>
      </c>
      <c r="E174" s="53" t="s">
        <v>75</v>
      </c>
      <c r="F174" s="21">
        <v>-20</v>
      </c>
    </row>
    <row r="175" spans="2:6" hidden="1" x14ac:dyDescent="0.25">
      <c r="B175" s="21">
        <v>9495</v>
      </c>
      <c r="C175" s="43">
        <v>46076</v>
      </c>
      <c r="D175" s="43" t="s">
        <v>392</v>
      </c>
      <c r="E175" s="21" t="s">
        <v>44</v>
      </c>
      <c r="F175" s="29">
        <v>4.24</v>
      </c>
    </row>
    <row r="176" spans="2:6" hidden="1" x14ac:dyDescent="0.25">
      <c r="B176" s="21">
        <v>2445</v>
      </c>
      <c r="C176" s="43">
        <v>46076</v>
      </c>
      <c r="D176" s="43" t="s">
        <v>458</v>
      </c>
      <c r="E176" s="21" t="s">
        <v>196</v>
      </c>
      <c r="F176" s="29">
        <v>11</v>
      </c>
    </row>
    <row r="177" spans="2:6" hidden="1" x14ac:dyDescent="0.25">
      <c r="B177" s="21">
        <v>2445</v>
      </c>
      <c r="C177" s="43">
        <v>46076</v>
      </c>
      <c r="D177" s="43" t="s">
        <v>459</v>
      </c>
      <c r="E177" s="53" t="s">
        <v>196</v>
      </c>
      <c r="F177" s="29">
        <v>45</v>
      </c>
    </row>
    <row r="178" spans="2:6" hidden="1" x14ac:dyDescent="0.25">
      <c r="B178" s="21">
        <v>2445</v>
      </c>
      <c r="C178" s="43">
        <v>46076</v>
      </c>
      <c r="D178" s="43" t="s">
        <v>460</v>
      </c>
      <c r="E178" s="21" t="s">
        <v>196</v>
      </c>
      <c r="F178" s="29">
        <v>54</v>
      </c>
    </row>
    <row r="179" spans="2:6" hidden="1" x14ac:dyDescent="0.25">
      <c r="B179" s="21">
        <v>2445</v>
      </c>
      <c r="C179" s="43">
        <v>46076</v>
      </c>
      <c r="D179" s="43" t="s">
        <v>437</v>
      </c>
      <c r="E179" s="21" t="s">
        <v>18</v>
      </c>
      <c r="F179" s="29">
        <v>-64.5</v>
      </c>
    </row>
    <row r="180" spans="2:6" hidden="1" x14ac:dyDescent="0.25">
      <c r="B180" s="21">
        <v>5676</v>
      </c>
      <c r="C180" s="43">
        <v>46076</v>
      </c>
      <c r="D180" s="43" t="s">
        <v>529</v>
      </c>
      <c r="E180" s="30" t="s">
        <v>6</v>
      </c>
      <c r="F180" s="29">
        <v>3.69</v>
      </c>
    </row>
    <row r="181" spans="2:6" ht="15.75" hidden="1" thickBot="1" x14ac:dyDescent="0.3">
      <c r="B181" s="21">
        <v>5676</v>
      </c>
      <c r="C181" s="44">
        <v>46076</v>
      </c>
      <c r="D181" s="43" t="s">
        <v>289</v>
      </c>
      <c r="E181" s="21" t="s">
        <v>8</v>
      </c>
      <c r="F181" s="54">
        <v>31.81</v>
      </c>
    </row>
    <row r="182" spans="2:6" hidden="1" x14ac:dyDescent="0.25">
      <c r="B182" s="21">
        <v>5676</v>
      </c>
      <c r="C182" s="43">
        <v>46076</v>
      </c>
      <c r="D182" s="43" t="s">
        <v>276</v>
      </c>
      <c r="E182" s="21" t="s">
        <v>6</v>
      </c>
      <c r="F182" s="29">
        <v>139.19</v>
      </c>
    </row>
    <row r="183" spans="2:6" hidden="1" x14ac:dyDescent="0.25">
      <c r="B183" s="21">
        <v>2445</v>
      </c>
      <c r="C183" s="43">
        <v>46077</v>
      </c>
      <c r="D183" s="43" t="s">
        <v>440</v>
      </c>
      <c r="E183" s="21" t="s">
        <v>44</v>
      </c>
      <c r="F183" s="29">
        <v>-147.72</v>
      </c>
    </row>
    <row r="184" spans="2:6" hidden="1" x14ac:dyDescent="0.25">
      <c r="B184" s="21">
        <v>9203</v>
      </c>
      <c r="C184" s="43">
        <v>46078</v>
      </c>
      <c r="D184" s="43" t="s">
        <v>300</v>
      </c>
      <c r="E184" s="53" t="s">
        <v>44</v>
      </c>
      <c r="F184" s="21">
        <v>36.69</v>
      </c>
    </row>
    <row r="185" spans="2:6" hidden="1" x14ac:dyDescent="0.25">
      <c r="B185" s="21">
        <v>9203</v>
      </c>
      <c r="C185" s="43">
        <v>46078</v>
      </c>
      <c r="D185" s="43" t="s">
        <v>297</v>
      </c>
      <c r="E185" s="53" t="s">
        <v>11</v>
      </c>
      <c r="F185" s="21">
        <v>15.93</v>
      </c>
    </row>
    <row r="186" spans="2:6" hidden="1" x14ac:dyDescent="0.25">
      <c r="B186" s="21">
        <v>9203</v>
      </c>
      <c r="C186" s="43">
        <v>46078</v>
      </c>
      <c r="D186" s="43" t="s">
        <v>279</v>
      </c>
      <c r="E186" s="21" t="s">
        <v>44</v>
      </c>
      <c r="F186" s="21">
        <v>5.72</v>
      </c>
    </row>
    <row r="187" spans="2:6" hidden="1" x14ac:dyDescent="0.25">
      <c r="B187" s="21">
        <v>9203</v>
      </c>
      <c r="C187" s="43">
        <v>46078</v>
      </c>
      <c r="D187" s="43" t="s">
        <v>285</v>
      </c>
      <c r="E187" s="21" t="s">
        <v>11</v>
      </c>
      <c r="F187" s="21">
        <v>4.16</v>
      </c>
    </row>
    <row r="188" spans="2:6" hidden="1" x14ac:dyDescent="0.25">
      <c r="B188" s="21">
        <v>2445</v>
      </c>
      <c r="C188" s="43">
        <v>46078</v>
      </c>
      <c r="D188" s="43" t="s">
        <v>437</v>
      </c>
      <c r="E188" s="21" t="s">
        <v>18</v>
      </c>
      <c r="F188" s="29">
        <v>-64.5</v>
      </c>
    </row>
    <row r="189" spans="2:6" hidden="1" x14ac:dyDescent="0.25">
      <c r="B189" s="21">
        <v>9495</v>
      </c>
      <c r="C189" s="27">
        <v>46079</v>
      </c>
      <c r="D189" s="43" t="s">
        <v>426</v>
      </c>
      <c r="E189" s="21" t="s">
        <v>16</v>
      </c>
      <c r="F189" s="28">
        <v>29.95</v>
      </c>
    </row>
    <row r="190" spans="2:6" hidden="1" x14ac:dyDescent="0.25">
      <c r="B190" s="21">
        <v>2445</v>
      </c>
      <c r="C190" s="43">
        <v>46079</v>
      </c>
      <c r="D190" s="43" t="s">
        <v>457</v>
      </c>
      <c r="E190" s="53" t="s">
        <v>196</v>
      </c>
      <c r="F190" s="29">
        <v>18</v>
      </c>
    </row>
    <row r="191" spans="2:6" hidden="1" x14ac:dyDescent="0.25">
      <c r="B191" s="21">
        <v>5676</v>
      </c>
      <c r="C191" s="43">
        <v>46079</v>
      </c>
      <c r="D191" s="43" t="s">
        <v>527</v>
      </c>
      <c r="E191" s="53" t="s">
        <v>9</v>
      </c>
      <c r="F191" s="29">
        <v>109.77</v>
      </c>
    </row>
    <row r="192" spans="2:6" hidden="1" x14ac:dyDescent="0.25">
      <c r="B192" s="21">
        <v>5676</v>
      </c>
      <c r="C192" s="43">
        <v>46079</v>
      </c>
      <c r="D192" s="43" t="s">
        <v>528</v>
      </c>
      <c r="E192" s="21" t="s">
        <v>14</v>
      </c>
      <c r="F192" s="29">
        <v>13.13</v>
      </c>
    </row>
    <row r="193" spans="2:6" hidden="1" x14ac:dyDescent="0.25">
      <c r="B193" s="21">
        <v>31005</v>
      </c>
      <c r="C193" s="27">
        <v>46081</v>
      </c>
      <c r="D193" s="43" t="s">
        <v>205</v>
      </c>
      <c r="E193" s="21" t="s">
        <v>16</v>
      </c>
      <c r="F193" s="21">
        <v>42.47</v>
      </c>
    </row>
    <row r="194" spans="2:6" hidden="1" x14ac:dyDescent="0.25">
      <c r="B194" s="21">
        <v>31005</v>
      </c>
      <c r="C194" s="27">
        <v>46081</v>
      </c>
      <c r="D194" s="43" t="s">
        <v>205</v>
      </c>
      <c r="E194" s="21" t="s">
        <v>16</v>
      </c>
      <c r="F194" s="21">
        <v>64.150000000000006</v>
      </c>
    </row>
    <row r="195" spans="2:6" hidden="1" x14ac:dyDescent="0.25">
      <c r="B195" s="21">
        <v>5676</v>
      </c>
      <c r="C195" s="43">
        <v>46081</v>
      </c>
      <c r="D195" s="43" t="s">
        <v>525</v>
      </c>
      <c r="E195" s="21" t="s">
        <v>9</v>
      </c>
      <c r="F195" s="29">
        <v>14.96</v>
      </c>
    </row>
    <row r="196" spans="2:6" hidden="1" x14ac:dyDescent="0.25">
      <c r="B196" s="21">
        <v>5676</v>
      </c>
      <c r="C196" s="43">
        <v>46081</v>
      </c>
      <c r="D196" s="43" t="s">
        <v>400</v>
      </c>
      <c r="E196" s="21" t="s">
        <v>18</v>
      </c>
      <c r="F196" s="29">
        <v>9</v>
      </c>
    </row>
    <row r="197" spans="2:6" hidden="1" x14ac:dyDescent="0.25">
      <c r="B197" s="21">
        <v>5676</v>
      </c>
      <c r="C197" s="43">
        <v>46081</v>
      </c>
      <c r="D197" s="43" t="s">
        <v>526</v>
      </c>
      <c r="E197" s="21" t="s">
        <v>9</v>
      </c>
      <c r="F197" s="29">
        <v>13.8</v>
      </c>
    </row>
    <row r="198" spans="2:6" hidden="1" x14ac:dyDescent="0.25">
      <c r="B198" s="21">
        <v>31005</v>
      </c>
      <c r="C198" s="43">
        <v>46082</v>
      </c>
      <c r="D198" s="43" t="s">
        <v>494</v>
      </c>
      <c r="E198" s="21" t="s">
        <v>14</v>
      </c>
      <c r="F198" s="21">
        <v>15</v>
      </c>
    </row>
    <row r="199" spans="2:6" hidden="1" x14ac:dyDescent="0.25">
      <c r="B199" s="21">
        <v>31005</v>
      </c>
      <c r="C199" s="27">
        <v>46082</v>
      </c>
      <c r="D199" s="43" t="s">
        <v>193</v>
      </c>
      <c r="E199" s="21" t="s">
        <v>432</v>
      </c>
      <c r="F199" s="21">
        <v>-7</v>
      </c>
    </row>
    <row r="200" spans="2:6" hidden="1" x14ac:dyDescent="0.25">
      <c r="B200" s="21">
        <v>9203</v>
      </c>
      <c r="C200" s="43">
        <v>46082</v>
      </c>
      <c r="D200" s="43" t="s">
        <v>327</v>
      </c>
      <c r="E200" s="21" t="s">
        <v>12</v>
      </c>
      <c r="F200" s="21">
        <v>15.99</v>
      </c>
    </row>
    <row r="201" spans="2:6" hidden="1" x14ac:dyDescent="0.25">
      <c r="B201" s="21">
        <v>9203</v>
      </c>
      <c r="C201" s="43">
        <v>46082</v>
      </c>
      <c r="D201" s="43" t="s">
        <v>326</v>
      </c>
      <c r="E201" s="21" t="s">
        <v>6</v>
      </c>
      <c r="F201" s="21">
        <v>41.14</v>
      </c>
    </row>
    <row r="202" spans="2:6" hidden="1" x14ac:dyDescent="0.25">
      <c r="B202" s="21">
        <v>31005</v>
      </c>
      <c r="C202" s="43">
        <v>46082</v>
      </c>
      <c r="D202" s="43" t="s">
        <v>205</v>
      </c>
      <c r="E202" s="21" t="s">
        <v>16</v>
      </c>
      <c r="F202" s="21">
        <v>9.93</v>
      </c>
    </row>
    <row r="203" spans="2:6" hidden="1" x14ac:dyDescent="0.25">
      <c r="B203" s="21">
        <v>31005</v>
      </c>
      <c r="C203" s="43">
        <v>46082</v>
      </c>
      <c r="D203" s="43" t="s">
        <v>205</v>
      </c>
      <c r="E203" s="21" t="s">
        <v>16</v>
      </c>
      <c r="F203" s="21">
        <v>34.89</v>
      </c>
    </row>
    <row r="204" spans="2:6" hidden="1" x14ac:dyDescent="0.25">
      <c r="B204" s="21">
        <v>9203</v>
      </c>
      <c r="C204" s="43">
        <v>46083</v>
      </c>
      <c r="D204" s="43" t="s">
        <v>325</v>
      </c>
      <c r="E204" s="21" t="s">
        <v>9</v>
      </c>
      <c r="F204" s="21">
        <v>18.600000000000001</v>
      </c>
    </row>
    <row r="205" spans="2:6" hidden="1" x14ac:dyDescent="0.25">
      <c r="B205" s="21">
        <v>9495</v>
      </c>
      <c r="C205" s="43">
        <v>46083</v>
      </c>
      <c r="D205" s="43" t="s">
        <v>279</v>
      </c>
      <c r="E205" s="21" t="s">
        <v>44</v>
      </c>
      <c r="F205" s="29">
        <v>5.96</v>
      </c>
    </row>
    <row r="206" spans="2:6" hidden="1" x14ac:dyDescent="0.25">
      <c r="B206" s="21">
        <v>5676</v>
      </c>
      <c r="C206" s="43">
        <v>46083</v>
      </c>
      <c r="D206" s="43" t="s">
        <v>524</v>
      </c>
      <c r="E206" s="21" t="s">
        <v>9</v>
      </c>
      <c r="F206" s="29">
        <v>336.88</v>
      </c>
    </row>
    <row r="207" spans="2:6" hidden="1" x14ac:dyDescent="0.25">
      <c r="B207" s="21">
        <v>31005</v>
      </c>
      <c r="C207" s="43">
        <v>46084</v>
      </c>
      <c r="D207" s="43" t="s">
        <v>470</v>
      </c>
      <c r="E207" s="21" t="s">
        <v>9</v>
      </c>
      <c r="F207" s="21">
        <v>16</v>
      </c>
    </row>
    <row r="208" spans="2:6" hidden="1" x14ac:dyDescent="0.25">
      <c r="B208" s="21">
        <v>9495</v>
      </c>
      <c r="C208" s="43">
        <v>46084</v>
      </c>
      <c r="D208" s="43" t="s">
        <v>216</v>
      </c>
      <c r="E208" s="21" t="s">
        <v>11</v>
      </c>
      <c r="F208" s="29">
        <v>25</v>
      </c>
    </row>
    <row r="209" spans="2:6" hidden="1" x14ac:dyDescent="0.25">
      <c r="B209" s="21">
        <v>2445</v>
      </c>
      <c r="C209" s="43">
        <v>46084</v>
      </c>
      <c r="D209" s="43" t="s">
        <v>440</v>
      </c>
      <c r="E209" s="21" t="s">
        <v>44</v>
      </c>
      <c r="F209" s="29">
        <v>-32.31</v>
      </c>
    </row>
    <row r="210" spans="2:6" hidden="1" x14ac:dyDescent="0.25">
      <c r="B210" s="21">
        <v>2445</v>
      </c>
      <c r="C210" s="43">
        <v>46084</v>
      </c>
      <c r="D210" s="43" t="s">
        <v>436</v>
      </c>
      <c r="E210" s="21" t="s">
        <v>196</v>
      </c>
      <c r="F210" s="29">
        <v>-186.44</v>
      </c>
    </row>
    <row r="211" spans="2:6" hidden="1" x14ac:dyDescent="0.25">
      <c r="B211" s="21">
        <v>5676</v>
      </c>
      <c r="C211" s="43">
        <v>46084</v>
      </c>
      <c r="D211" s="43" t="s">
        <v>70</v>
      </c>
      <c r="E211" s="21" t="s">
        <v>18</v>
      </c>
      <c r="F211" s="29">
        <v>32.25</v>
      </c>
    </row>
    <row r="212" spans="2:6" hidden="1" x14ac:dyDescent="0.25">
      <c r="B212" s="21">
        <v>9203</v>
      </c>
      <c r="C212" s="43">
        <v>46085</v>
      </c>
      <c r="D212" s="43" t="s">
        <v>324</v>
      </c>
      <c r="E212" s="21" t="s">
        <v>10</v>
      </c>
      <c r="F212" s="21">
        <v>40.29</v>
      </c>
    </row>
    <row r="213" spans="2:6" hidden="1" x14ac:dyDescent="0.25">
      <c r="B213" s="21">
        <v>5676</v>
      </c>
      <c r="C213" s="43">
        <v>46085</v>
      </c>
      <c r="D213" s="43" t="s">
        <v>283</v>
      </c>
      <c r="E213" s="21" t="s">
        <v>18</v>
      </c>
      <c r="F213" s="29">
        <v>40.840000000000003</v>
      </c>
    </row>
    <row r="214" spans="2:6" hidden="1" x14ac:dyDescent="0.25">
      <c r="B214" s="21">
        <v>5676</v>
      </c>
      <c r="C214" s="43">
        <v>46085</v>
      </c>
      <c r="D214" s="43" t="s">
        <v>70</v>
      </c>
      <c r="E214" s="21" t="s">
        <v>18</v>
      </c>
      <c r="F214" s="29">
        <v>32.25</v>
      </c>
    </row>
    <row r="215" spans="2:6" hidden="1" x14ac:dyDescent="0.25">
      <c r="B215" s="21">
        <v>9203</v>
      </c>
      <c r="C215" s="43">
        <v>46086</v>
      </c>
      <c r="D215" s="43" t="s">
        <v>323</v>
      </c>
      <c r="E215" s="21" t="s">
        <v>10</v>
      </c>
      <c r="F215" s="21">
        <v>20.99</v>
      </c>
    </row>
    <row r="216" spans="2:6" hidden="1" x14ac:dyDescent="0.25">
      <c r="B216" s="21">
        <v>2445</v>
      </c>
      <c r="C216" s="43">
        <v>46086</v>
      </c>
      <c r="D216" s="43" t="s">
        <v>436</v>
      </c>
      <c r="E216" s="21" t="s">
        <v>196</v>
      </c>
      <c r="F216" s="29">
        <v>-56.15</v>
      </c>
    </row>
    <row r="217" spans="2:6" hidden="1" x14ac:dyDescent="0.25">
      <c r="B217" s="21">
        <v>5676</v>
      </c>
      <c r="C217" s="43">
        <v>46086</v>
      </c>
      <c r="D217" s="43" t="s">
        <v>70</v>
      </c>
      <c r="E217" s="53" t="s">
        <v>18</v>
      </c>
      <c r="F217" s="29">
        <v>32.25</v>
      </c>
    </row>
    <row r="218" spans="2:6" hidden="1" x14ac:dyDescent="0.25">
      <c r="B218" s="21">
        <v>9203</v>
      </c>
      <c r="C218" s="43">
        <v>46087</v>
      </c>
      <c r="D218" s="43" t="s">
        <v>322</v>
      </c>
      <c r="E218" s="21" t="s">
        <v>9</v>
      </c>
      <c r="F218" s="21">
        <v>23.14</v>
      </c>
    </row>
    <row r="219" spans="2:6" hidden="1" x14ac:dyDescent="0.25">
      <c r="B219" s="21">
        <v>9203</v>
      </c>
      <c r="C219" s="43">
        <v>46087</v>
      </c>
      <c r="D219" s="43" t="s">
        <v>321</v>
      </c>
      <c r="E219" s="21" t="s">
        <v>44</v>
      </c>
      <c r="F219" s="21">
        <v>53.13</v>
      </c>
    </row>
    <row r="220" spans="2:6" hidden="1" x14ac:dyDescent="0.25">
      <c r="B220" s="21">
        <v>9203</v>
      </c>
      <c r="C220" s="43">
        <v>46087</v>
      </c>
      <c r="D220" s="43" t="s">
        <v>315</v>
      </c>
      <c r="E220" s="21" t="s">
        <v>10</v>
      </c>
      <c r="F220" s="21">
        <v>25</v>
      </c>
    </row>
    <row r="221" spans="2:6" hidden="1" x14ac:dyDescent="0.25">
      <c r="B221" s="21">
        <v>2445</v>
      </c>
      <c r="C221" s="43">
        <v>46087</v>
      </c>
      <c r="D221" s="43" t="s">
        <v>315</v>
      </c>
      <c r="E221" s="21" t="s">
        <v>10</v>
      </c>
      <c r="F221" s="21">
        <v>-98</v>
      </c>
    </row>
    <row r="222" spans="2:6" hidden="1" x14ac:dyDescent="0.25">
      <c r="B222" s="21">
        <v>5676</v>
      </c>
      <c r="C222" s="43">
        <v>46087</v>
      </c>
      <c r="D222" s="43" t="s">
        <v>70</v>
      </c>
      <c r="E222" s="21" t="s">
        <v>18</v>
      </c>
      <c r="F222" s="29">
        <v>32.25</v>
      </c>
    </row>
    <row r="223" spans="2:6" hidden="1" x14ac:dyDescent="0.25">
      <c r="B223" s="21">
        <v>31005</v>
      </c>
      <c r="C223" s="43">
        <v>46089</v>
      </c>
      <c r="D223" s="43" t="s">
        <v>320</v>
      </c>
      <c r="E223" s="21" t="s">
        <v>10</v>
      </c>
      <c r="F223" s="21">
        <v>-143.44</v>
      </c>
    </row>
    <row r="224" spans="2:6" hidden="1" x14ac:dyDescent="0.25">
      <c r="B224" s="21">
        <v>9203</v>
      </c>
      <c r="C224" s="43">
        <v>46089</v>
      </c>
      <c r="D224" s="43" t="s">
        <v>319</v>
      </c>
      <c r="E224" s="53" t="s">
        <v>6</v>
      </c>
      <c r="F224" s="21">
        <v>40.46</v>
      </c>
    </row>
    <row r="225" spans="2:6" hidden="1" x14ac:dyDescent="0.25">
      <c r="B225" s="21">
        <v>9203</v>
      </c>
      <c r="C225" s="43">
        <v>46089</v>
      </c>
      <c r="D225" s="43" t="s">
        <v>285</v>
      </c>
      <c r="E225" s="21" t="s">
        <v>11</v>
      </c>
      <c r="F225" s="21">
        <v>30.04</v>
      </c>
    </row>
    <row r="226" spans="2:6" hidden="1" x14ac:dyDescent="0.25">
      <c r="B226" s="21">
        <v>9495</v>
      </c>
      <c r="C226" s="43">
        <v>46089</v>
      </c>
      <c r="D226" s="43" t="s">
        <v>373</v>
      </c>
      <c r="E226" s="21" t="s">
        <v>27</v>
      </c>
      <c r="F226" s="29">
        <v>25</v>
      </c>
    </row>
    <row r="227" spans="2:6" hidden="1" x14ac:dyDescent="0.25">
      <c r="B227" s="21">
        <v>2445</v>
      </c>
      <c r="C227" s="43">
        <v>46090</v>
      </c>
      <c r="D227" s="43" t="s">
        <v>436</v>
      </c>
      <c r="E227" s="21" t="s">
        <v>196</v>
      </c>
      <c r="F227" s="29">
        <v>-56.15</v>
      </c>
    </row>
    <row r="228" spans="2:6" hidden="1" x14ac:dyDescent="0.25">
      <c r="B228" s="21">
        <v>2445</v>
      </c>
      <c r="C228" s="43">
        <v>46090</v>
      </c>
      <c r="D228" s="43" t="s">
        <v>437</v>
      </c>
      <c r="E228" s="21" t="s">
        <v>18</v>
      </c>
      <c r="F228" s="29">
        <v>-64.5</v>
      </c>
    </row>
    <row r="229" spans="2:6" hidden="1" x14ac:dyDescent="0.25">
      <c r="B229" s="21">
        <v>5676</v>
      </c>
      <c r="C229" s="43">
        <v>46090</v>
      </c>
      <c r="D229" s="43" t="s">
        <v>521</v>
      </c>
      <c r="E229" s="21" t="s">
        <v>218</v>
      </c>
      <c r="F229" s="29">
        <v>220</v>
      </c>
    </row>
    <row r="230" spans="2:6" hidden="1" x14ac:dyDescent="0.25">
      <c r="C230" s="43">
        <v>46164</v>
      </c>
      <c r="D230" s="43" t="s">
        <v>93</v>
      </c>
      <c r="E230" s="21" t="s">
        <v>17</v>
      </c>
      <c r="F230" s="29">
        <v>61.9</v>
      </c>
    </row>
    <row r="231" spans="2:6" hidden="1" x14ac:dyDescent="0.25">
      <c r="B231" s="21">
        <v>5676</v>
      </c>
      <c r="C231" s="43">
        <v>46090</v>
      </c>
      <c r="D231" s="43" t="s">
        <v>523</v>
      </c>
      <c r="E231" s="21" t="s">
        <v>11</v>
      </c>
      <c r="F231" s="29">
        <v>24</v>
      </c>
    </row>
    <row r="232" spans="2:6" hidden="1" x14ac:dyDescent="0.25">
      <c r="B232" s="21">
        <v>9203</v>
      </c>
      <c r="C232" s="43">
        <v>46091</v>
      </c>
      <c r="D232" s="43" t="s">
        <v>86</v>
      </c>
      <c r="E232" s="21" t="s">
        <v>10</v>
      </c>
      <c r="F232" s="21">
        <v>43.3</v>
      </c>
    </row>
    <row r="233" spans="2:6" hidden="1" x14ac:dyDescent="0.25">
      <c r="B233" s="21">
        <v>9495</v>
      </c>
      <c r="C233" s="43">
        <v>46091</v>
      </c>
      <c r="D233" s="43" t="s">
        <v>279</v>
      </c>
      <c r="E233" s="21" t="s">
        <v>44</v>
      </c>
      <c r="F233" s="29">
        <v>25.7</v>
      </c>
    </row>
    <row r="234" spans="2:6" hidden="1" x14ac:dyDescent="0.25">
      <c r="B234" s="21">
        <v>2445</v>
      </c>
      <c r="C234" s="43">
        <v>46091</v>
      </c>
      <c r="D234" s="43" t="s">
        <v>440</v>
      </c>
      <c r="E234" s="21" t="s">
        <v>44</v>
      </c>
      <c r="F234" s="29">
        <v>-182.41</v>
      </c>
    </row>
    <row r="235" spans="2:6" hidden="1" x14ac:dyDescent="0.25">
      <c r="B235" s="21">
        <v>5676</v>
      </c>
      <c r="C235" s="43">
        <v>46091</v>
      </c>
      <c r="D235" s="43" t="s">
        <v>70</v>
      </c>
      <c r="E235" s="21" t="s">
        <v>18</v>
      </c>
      <c r="F235" s="29">
        <v>32.25</v>
      </c>
    </row>
    <row r="236" spans="2:6" hidden="1" x14ac:dyDescent="0.25">
      <c r="B236" s="21">
        <v>9495</v>
      </c>
      <c r="C236" s="43">
        <v>46092</v>
      </c>
      <c r="D236" s="43" t="s">
        <v>277</v>
      </c>
      <c r="E236" s="21" t="s">
        <v>18</v>
      </c>
      <c r="F236" s="29">
        <v>9</v>
      </c>
    </row>
    <row r="237" spans="2:6" hidden="1" x14ac:dyDescent="0.25">
      <c r="B237" s="21">
        <v>9495</v>
      </c>
      <c r="C237" s="43">
        <v>46093</v>
      </c>
      <c r="D237" s="43" t="s">
        <v>279</v>
      </c>
      <c r="E237" s="21" t="s">
        <v>44</v>
      </c>
      <c r="F237" s="29">
        <v>5.72</v>
      </c>
    </row>
    <row r="238" spans="2:6" hidden="1" x14ac:dyDescent="0.25">
      <c r="B238" s="21">
        <v>2445</v>
      </c>
      <c r="C238" s="43">
        <v>46093</v>
      </c>
      <c r="D238" s="43" t="s">
        <v>295</v>
      </c>
      <c r="E238" s="21" t="s">
        <v>6</v>
      </c>
      <c r="F238" s="21">
        <v>-20.9</v>
      </c>
    </row>
    <row r="239" spans="2:6" hidden="1" x14ac:dyDescent="0.25">
      <c r="B239" s="21">
        <v>2445</v>
      </c>
      <c r="C239" s="43">
        <v>46093</v>
      </c>
      <c r="D239" s="43" t="s">
        <v>437</v>
      </c>
      <c r="E239" s="21" t="s">
        <v>18</v>
      </c>
      <c r="F239" s="29">
        <v>-64.5</v>
      </c>
    </row>
    <row r="240" spans="2:6" hidden="1" x14ac:dyDescent="0.25">
      <c r="B240" s="21">
        <v>5676</v>
      </c>
      <c r="C240" s="43">
        <v>46093</v>
      </c>
      <c r="D240" s="43" t="s">
        <v>70</v>
      </c>
      <c r="E240" s="21" t="s">
        <v>18</v>
      </c>
      <c r="F240" s="29">
        <v>32.25</v>
      </c>
    </row>
    <row r="241" spans="2:6" hidden="1" x14ac:dyDescent="0.25">
      <c r="B241" s="21">
        <v>31005</v>
      </c>
      <c r="C241" s="43">
        <v>46094</v>
      </c>
      <c r="D241" s="43" t="s">
        <v>492</v>
      </c>
      <c r="E241" s="21" t="s">
        <v>432</v>
      </c>
      <c r="F241" s="21">
        <v>-52.84</v>
      </c>
    </row>
    <row r="242" spans="2:6" hidden="1" x14ac:dyDescent="0.25">
      <c r="B242" s="21">
        <v>31005</v>
      </c>
      <c r="C242" s="43">
        <v>46094</v>
      </c>
      <c r="D242" s="43" t="s">
        <v>493</v>
      </c>
      <c r="E242" s="21" t="s">
        <v>9</v>
      </c>
      <c r="F242" s="21">
        <v>8</v>
      </c>
    </row>
    <row r="243" spans="2:6" hidden="1" x14ac:dyDescent="0.25">
      <c r="B243" s="21">
        <v>9495</v>
      </c>
      <c r="C243" s="43">
        <v>46094</v>
      </c>
      <c r="D243" s="43" t="s">
        <v>310</v>
      </c>
      <c r="E243" s="21" t="s">
        <v>7</v>
      </c>
      <c r="F243" s="29">
        <v>105.19</v>
      </c>
    </row>
    <row r="244" spans="2:6" hidden="1" x14ac:dyDescent="0.25">
      <c r="B244" s="21">
        <v>9495</v>
      </c>
      <c r="C244" s="43">
        <v>46094</v>
      </c>
      <c r="D244" s="43" t="s">
        <v>311</v>
      </c>
      <c r="E244" s="21" t="s">
        <v>7</v>
      </c>
      <c r="F244" s="29">
        <v>61.61</v>
      </c>
    </row>
    <row r="245" spans="2:6" hidden="1" x14ac:dyDescent="0.25">
      <c r="B245" s="21">
        <v>5676</v>
      </c>
      <c r="C245" s="43">
        <v>46094</v>
      </c>
      <c r="D245" s="43" t="s">
        <v>70</v>
      </c>
      <c r="E245" s="21" t="s">
        <v>18</v>
      </c>
      <c r="F245" s="29">
        <v>32.25</v>
      </c>
    </row>
    <row r="246" spans="2:6" hidden="1" x14ac:dyDescent="0.25">
      <c r="B246" s="21">
        <v>31005</v>
      </c>
      <c r="C246" s="43">
        <v>46095</v>
      </c>
      <c r="D246" s="43" t="s">
        <v>490</v>
      </c>
      <c r="E246" s="21" t="s">
        <v>14</v>
      </c>
      <c r="F246" s="21">
        <v>2.7</v>
      </c>
    </row>
    <row r="247" spans="2:6" hidden="1" x14ac:dyDescent="0.25">
      <c r="B247" s="21">
        <v>31005</v>
      </c>
      <c r="C247" s="43">
        <v>46095</v>
      </c>
      <c r="D247" s="43" t="s">
        <v>491</v>
      </c>
      <c r="E247" s="21" t="s">
        <v>6</v>
      </c>
      <c r="F247" s="21">
        <v>30.79</v>
      </c>
    </row>
    <row r="248" spans="2:6" hidden="1" x14ac:dyDescent="0.25">
      <c r="B248" s="21">
        <v>31005</v>
      </c>
      <c r="C248" s="43">
        <v>46095</v>
      </c>
      <c r="D248" s="43" t="s">
        <v>205</v>
      </c>
      <c r="E248" s="21" t="s">
        <v>16</v>
      </c>
      <c r="F248" s="21">
        <v>11.95</v>
      </c>
    </row>
    <row r="249" spans="2:6" hidden="1" x14ac:dyDescent="0.25">
      <c r="B249" s="21">
        <v>31005</v>
      </c>
      <c r="C249" s="43">
        <v>46096</v>
      </c>
      <c r="D249" s="43" t="s">
        <v>485</v>
      </c>
      <c r="E249" s="21" t="s">
        <v>6</v>
      </c>
      <c r="F249" s="21">
        <v>145.41999999999999</v>
      </c>
    </row>
    <row r="250" spans="2:6" hidden="1" x14ac:dyDescent="0.25">
      <c r="B250" s="21">
        <v>9495</v>
      </c>
      <c r="C250" s="27">
        <v>46096</v>
      </c>
      <c r="D250" s="43" t="s">
        <v>86</v>
      </c>
      <c r="E250" s="21" t="s">
        <v>44</v>
      </c>
      <c r="F250" s="28">
        <v>24.33</v>
      </c>
    </row>
    <row r="251" spans="2:6" hidden="1" x14ac:dyDescent="0.25">
      <c r="B251" s="21">
        <v>9495</v>
      </c>
      <c r="C251" s="27">
        <v>46096</v>
      </c>
      <c r="D251" s="43" t="s">
        <v>300</v>
      </c>
      <c r="E251" s="21" t="s">
        <v>44</v>
      </c>
      <c r="F251" s="28">
        <v>37.29</v>
      </c>
    </row>
    <row r="252" spans="2:6" hidden="1" x14ac:dyDescent="0.25">
      <c r="B252" s="21">
        <v>2445</v>
      </c>
      <c r="C252" s="27">
        <v>46096</v>
      </c>
      <c r="D252" s="43" t="s">
        <v>294</v>
      </c>
      <c r="E252" s="21" t="s">
        <v>11</v>
      </c>
      <c r="F252" s="21">
        <v>-5</v>
      </c>
    </row>
    <row r="253" spans="2:6" hidden="1" x14ac:dyDescent="0.25">
      <c r="B253" s="21">
        <v>31005</v>
      </c>
      <c r="C253" s="43">
        <v>46097</v>
      </c>
      <c r="D253" s="43" t="s">
        <v>489</v>
      </c>
      <c r="E253" s="21" t="s">
        <v>9</v>
      </c>
      <c r="F253" s="21">
        <v>103.46</v>
      </c>
    </row>
    <row r="254" spans="2:6" hidden="1" x14ac:dyDescent="0.25">
      <c r="B254" s="21">
        <v>9495</v>
      </c>
      <c r="C254" s="27">
        <v>46097</v>
      </c>
      <c r="D254" s="43" t="s">
        <v>390</v>
      </c>
      <c r="E254" s="21" t="s">
        <v>75</v>
      </c>
      <c r="F254" s="28">
        <v>18.989999999999998</v>
      </c>
    </row>
    <row r="255" spans="2:6" hidden="1" x14ac:dyDescent="0.25">
      <c r="B255" s="21">
        <v>9495</v>
      </c>
      <c r="C255" s="27">
        <v>46097</v>
      </c>
      <c r="D255" s="43" t="s">
        <v>425</v>
      </c>
      <c r="E255" s="21" t="s">
        <v>16</v>
      </c>
      <c r="F255" s="28">
        <v>5.17</v>
      </c>
    </row>
    <row r="256" spans="2:6" hidden="1" x14ac:dyDescent="0.25">
      <c r="B256" s="21">
        <v>9495</v>
      </c>
      <c r="C256" s="27">
        <v>46097</v>
      </c>
      <c r="D256" s="43" t="s">
        <v>391</v>
      </c>
      <c r="E256" s="21" t="s">
        <v>9</v>
      </c>
      <c r="F256" s="28">
        <v>43.06</v>
      </c>
    </row>
    <row r="257" spans="2:6" hidden="1" x14ac:dyDescent="0.25">
      <c r="B257" s="21">
        <v>2445</v>
      </c>
      <c r="C257" s="43">
        <v>46097</v>
      </c>
      <c r="D257" s="43" t="s">
        <v>455</v>
      </c>
      <c r="E257" s="21" t="s">
        <v>196</v>
      </c>
      <c r="F257" s="29">
        <v>8</v>
      </c>
    </row>
    <row r="258" spans="2:6" hidden="1" x14ac:dyDescent="0.25">
      <c r="B258" s="21">
        <v>2445</v>
      </c>
      <c r="C258" s="43">
        <v>46097</v>
      </c>
      <c r="D258" s="43" t="s">
        <v>456</v>
      </c>
      <c r="E258" s="21" t="s">
        <v>196</v>
      </c>
      <c r="F258" s="29">
        <v>750</v>
      </c>
    </row>
    <row r="259" spans="2:6" hidden="1" x14ac:dyDescent="0.25">
      <c r="B259" s="21">
        <v>2445</v>
      </c>
      <c r="C259" s="43">
        <v>46097</v>
      </c>
      <c r="D259" s="43" t="s">
        <v>437</v>
      </c>
      <c r="E259" s="21" t="s">
        <v>18</v>
      </c>
      <c r="F259" s="29">
        <v>-32.25</v>
      </c>
    </row>
    <row r="260" spans="2:6" hidden="1" x14ac:dyDescent="0.25">
      <c r="B260" s="21">
        <v>2445</v>
      </c>
      <c r="C260" s="43">
        <v>46098</v>
      </c>
      <c r="D260" s="43" t="s">
        <v>437</v>
      </c>
      <c r="E260" s="21" t="s">
        <v>18</v>
      </c>
      <c r="F260" s="29">
        <v>-41.25</v>
      </c>
    </row>
    <row r="261" spans="2:6" hidden="1" x14ac:dyDescent="0.25">
      <c r="B261" s="21">
        <v>31005</v>
      </c>
      <c r="C261" s="43">
        <v>46098</v>
      </c>
      <c r="D261" s="43" t="s">
        <v>488</v>
      </c>
      <c r="E261" s="21" t="s">
        <v>18</v>
      </c>
      <c r="F261" s="21">
        <v>10</v>
      </c>
    </row>
    <row r="262" spans="2:6" hidden="1" x14ac:dyDescent="0.25">
      <c r="B262" s="21">
        <v>5676</v>
      </c>
      <c r="C262" s="43">
        <v>46098</v>
      </c>
      <c r="D262" s="43" t="s">
        <v>70</v>
      </c>
      <c r="E262" s="21" t="s">
        <v>18</v>
      </c>
      <c r="F262" s="29">
        <v>32.25</v>
      </c>
    </row>
    <row r="263" spans="2:6" hidden="1" x14ac:dyDescent="0.25">
      <c r="B263" s="21">
        <v>9203</v>
      </c>
      <c r="C263" s="27">
        <v>46099</v>
      </c>
      <c r="D263" s="43" t="s">
        <v>318</v>
      </c>
      <c r="E263" s="21" t="s">
        <v>9</v>
      </c>
      <c r="F263" s="21">
        <v>0.63</v>
      </c>
    </row>
    <row r="264" spans="2:6" hidden="1" x14ac:dyDescent="0.25">
      <c r="B264" s="21">
        <v>31005</v>
      </c>
      <c r="C264" s="43">
        <v>46100</v>
      </c>
      <c r="D264" s="43" t="s">
        <v>487</v>
      </c>
      <c r="E264" s="21" t="s">
        <v>6</v>
      </c>
      <c r="F264" s="21">
        <v>11.79</v>
      </c>
    </row>
    <row r="265" spans="2:6" hidden="1" x14ac:dyDescent="0.25">
      <c r="B265" s="21">
        <v>5676</v>
      </c>
      <c r="C265" s="43">
        <v>46100</v>
      </c>
      <c r="D265" s="43" t="s">
        <v>70</v>
      </c>
      <c r="E265" s="21" t="s">
        <v>18</v>
      </c>
      <c r="F265" s="29">
        <v>32.25</v>
      </c>
    </row>
    <row r="266" spans="2:6" hidden="1" x14ac:dyDescent="0.25">
      <c r="B266" s="21">
        <v>2445</v>
      </c>
      <c r="C266" s="43">
        <v>46101</v>
      </c>
      <c r="D266" s="43" t="s">
        <v>454</v>
      </c>
      <c r="E266" s="21" t="s">
        <v>196</v>
      </c>
      <c r="F266" s="29">
        <v>15</v>
      </c>
    </row>
    <row r="267" spans="2:6" hidden="1" x14ac:dyDescent="0.25">
      <c r="B267" s="21">
        <v>5676</v>
      </c>
      <c r="C267" s="43">
        <v>46101</v>
      </c>
      <c r="D267" s="43" t="s">
        <v>70</v>
      </c>
      <c r="E267" s="21" t="s">
        <v>18</v>
      </c>
      <c r="F267" s="29">
        <v>32.25</v>
      </c>
    </row>
    <row r="268" spans="2:6" hidden="1" x14ac:dyDescent="0.25">
      <c r="B268" s="21">
        <v>31005</v>
      </c>
      <c r="C268" s="43">
        <v>46102</v>
      </c>
      <c r="D268" s="43" t="s">
        <v>485</v>
      </c>
      <c r="E268" s="21" t="s">
        <v>6</v>
      </c>
      <c r="F268" s="21">
        <v>42.25</v>
      </c>
    </row>
    <row r="269" spans="2:6" hidden="1" x14ac:dyDescent="0.25">
      <c r="B269" s="21">
        <v>31005</v>
      </c>
      <c r="C269" s="43">
        <v>46102</v>
      </c>
      <c r="D269" s="43" t="s">
        <v>486</v>
      </c>
      <c r="E269" s="21" t="s">
        <v>9</v>
      </c>
      <c r="F269" s="21">
        <v>82.68</v>
      </c>
    </row>
    <row r="270" spans="2:6" hidden="1" x14ac:dyDescent="0.25">
      <c r="B270" s="21">
        <v>31005</v>
      </c>
      <c r="C270" s="43">
        <v>46102</v>
      </c>
      <c r="D270" s="43" t="s">
        <v>484</v>
      </c>
      <c r="E270" s="21" t="s">
        <v>10</v>
      </c>
      <c r="F270" s="21">
        <v>8</v>
      </c>
    </row>
    <row r="271" spans="2:6" hidden="1" x14ac:dyDescent="0.25">
      <c r="B271" s="21">
        <v>31005</v>
      </c>
      <c r="C271" s="43">
        <v>46102</v>
      </c>
      <c r="D271" s="43" t="s">
        <v>469</v>
      </c>
      <c r="E271" s="21" t="s">
        <v>75</v>
      </c>
      <c r="F271" s="21">
        <v>10.99</v>
      </c>
    </row>
    <row r="272" spans="2:6" hidden="1" x14ac:dyDescent="0.25">
      <c r="B272" s="21">
        <v>31005</v>
      </c>
      <c r="C272" s="43">
        <v>46102</v>
      </c>
      <c r="D272" s="43" t="s">
        <v>469</v>
      </c>
      <c r="E272" s="21" t="s">
        <v>75</v>
      </c>
      <c r="F272" s="21">
        <v>82.99</v>
      </c>
    </row>
    <row r="273" spans="2:6" hidden="1" x14ac:dyDescent="0.25">
      <c r="B273" s="21">
        <v>31005</v>
      </c>
      <c r="C273" s="43">
        <v>46103</v>
      </c>
      <c r="D273" s="43" t="s">
        <v>479</v>
      </c>
      <c r="E273" s="21" t="s">
        <v>6</v>
      </c>
      <c r="F273" s="21">
        <v>114.56</v>
      </c>
    </row>
    <row r="274" spans="2:6" hidden="1" x14ac:dyDescent="0.25">
      <c r="B274" s="21">
        <v>31005</v>
      </c>
      <c r="C274" s="43">
        <v>46103</v>
      </c>
      <c r="D274" s="43" t="s">
        <v>480</v>
      </c>
      <c r="E274" s="21" t="s">
        <v>9</v>
      </c>
      <c r="F274" s="21">
        <v>52.03</v>
      </c>
    </row>
    <row r="275" spans="2:6" hidden="1" x14ac:dyDescent="0.25">
      <c r="B275" s="21">
        <v>31005</v>
      </c>
      <c r="C275" s="43">
        <v>46103</v>
      </c>
      <c r="D275" s="43" t="s">
        <v>483</v>
      </c>
      <c r="E275" s="21" t="s">
        <v>9</v>
      </c>
      <c r="F275" s="21">
        <v>218.77</v>
      </c>
    </row>
    <row r="276" spans="2:6" hidden="1" x14ac:dyDescent="0.25">
      <c r="B276" s="21">
        <v>31005</v>
      </c>
      <c r="C276" s="43">
        <v>46103</v>
      </c>
      <c r="D276" s="43" t="s">
        <v>481</v>
      </c>
      <c r="E276" s="21" t="s">
        <v>75</v>
      </c>
      <c r="F276" s="21">
        <v>-20</v>
      </c>
    </row>
    <row r="277" spans="2:6" hidden="1" x14ac:dyDescent="0.25">
      <c r="B277" s="21">
        <v>9203</v>
      </c>
      <c r="C277" s="27">
        <v>46103</v>
      </c>
      <c r="D277" s="43" t="s">
        <v>298</v>
      </c>
      <c r="E277" s="21" t="s">
        <v>13</v>
      </c>
      <c r="F277" s="29">
        <v>21.54</v>
      </c>
    </row>
    <row r="278" spans="2:6" hidden="1" x14ac:dyDescent="0.25">
      <c r="B278" s="21">
        <v>9203</v>
      </c>
      <c r="C278" s="43">
        <v>46103</v>
      </c>
      <c r="D278" s="43" t="s">
        <v>276</v>
      </c>
      <c r="E278" s="21" t="s">
        <v>6</v>
      </c>
      <c r="F278" s="21">
        <v>29.95</v>
      </c>
    </row>
    <row r="279" spans="2:6" hidden="1" x14ac:dyDescent="0.25">
      <c r="B279" s="21">
        <v>9203</v>
      </c>
      <c r="C279" s="27">
        <v>46103</v>
      </c>
      <c r="D279" s="43" t="s">
        <v>298</v>
      </c>
      <c r="E279" s="21" t="s">
        <v>13</v>
      </c>
      <c r="F279" s="29">
        <v>46</v>
      </c>
    </row>
    <row r="280" spans="2:6" hidden="1" x14ac:dyDescent="0.25">
      <c r="B280" s="21">
        <v>9203</v>
      </c>
      <c r="C280" s="43">
        <v>46166</v>
      </c>
      <c r="D280" s="43" t="s">
        <v>283</v>
      </c>
      <c r="E280" s="21" t="s">
        <v>17</v>
      </c>
      <c r="F280" s="21">
        <v>61.9</v>
      </c>
    </row>
    <row r="281" spans="2:6" hidden="1" x14ac:dyDescent="0.25">
      <c r="B281" s="21">
        <v>9203</v>
      </c>
      <c r="C281" s="43">
        <v>46103</v>
      </c>
      <c r="D281" s="43" t="s">
        <v>317</v>
      </c>
      <c r="E281" s="21" t="s">
        <v>44</v>
      </c>
      <c r="F281" s="21">
        <v>53.26</v>
      </c>
    </row>
    <row r="282" spans="2:6" hidden="1" x14ac:dyDescent="0.25">
      <c r="B282" s="21">
        <v>31005</v>
      </c>
      <c r="C282" s="43">
        <v>46103</v>
      </c>
      <c r="D282" s="43" t="s">
        <v>205</v>
      </c>
      <c r="E282" s="21" t="s">
        <v>16</v>
      </c>
      <c r="F282" s="21">
        <v>9.94</v>
      </c>
    </row>
    <row r="283" spans="2:6" hidden="1" x14ac:dyDescent="0.25">
      <c r="B283" s="21">
        <v>31005</v>
      </c>
      <c r="C283" s="43">
        <v>46103</v>
      </c>
      <c r="D283" s="43" t="s">
        <v>482</v>
      </c>
      <c r="E283" s="21" t="s">
        <v>18</v>
      </c>
      <c r="F283" s="21">
        <v>4.8</v>
      </c>
    </row>
    <row r="284" spans="2:6" hidden="1" x14ac:dyDescent="0.25">
      <c r="B284" s="21">
        <v>2445</v>
      </c>
      <c r="C284" s="43">
        <v>46104</v>
      </c>
      <c r="D284" s="43" t="s">
        <v>453</v>
      </c>
      <c r="E284" s="21" t="s">
        <v>6</v>
      </c>
      <c r="F284" s="29">
        <v>-54</v>
      </c>
    </row>
    <row r="285" spans="2:6" hidden="1" x14ac:dyDescent="0.25">
      <c r="B285" s="21">
        <v>2445</v>
      </c>
      <c r="C285" s="43">
        <v>46104</v>
      </c>
      <c r="D285" s="43" t="s">
        <v>436</v>
      </c>
      <c r="E285" s="21" t="s">
        <v>196</v>
      </c>
      <c r="F285" s="29">
        <v>-63.19</v>
      </c>
    </row>
    <row r="286" spans="2:6" hidden="1" x14ac:dyDescent="0.25">
      <c r="B286" s="21">
        <v>2445</v>
      </c>
      <c r="C286" s="43">
        <v>46104</v>
      </c>
      <c r="D286" s="43" t="s">
        <v>436</v>
      </c>
      <c r="E286" s="21" t="s">
        <v>196</v>
      </c>
      <c r="F286" s="29">
        <v>-172</v>
      </c>
    </row>
    <row r="287" spans="2:6" hidden="1" x14ac:dyDescent="0.25">
      <c r="B287" s="21">
        <v>5676</v>
      </c>
      <c r="C287" s="43">
        <v>46104</v>
      </c>
      <c r="D287" s="43" t="s">
        <v>400</v>
      </c>
      <c r="E287" s="21" t="s">
        <v>18</v>
      </c>
      <c r="F287" s="29">
        <v>3</v>
      </c>
    </row>
    <row r="288" spans="2:6" hidden="1" x14ac:dyDescent="0.25">
      <c r="B288" s="21">
        <v>9203</v>
      </c>
      <c r="C288" s="43">
        <v>46105</v>
      </c>
      <c r="D288" s="43" t="s">
        <v>337</v>
      </c>
      <c r="E288" s="21" t="s">
        <v>44</v>
      </c>
      <c r="F288" s="21">
        <v>47.81</v>
      </c>
    </row>
    <row r="289" spans="2:6" hidden="1" x14ac:dyDescent="0.25">
      <c r="B289" s="21">
        <v>9495</v>
      </c>
      <c r="C289" s="43">
        <v>46105</v>
      </c>
      <c r="D289" s="43" t="s">
        <v>279</v>
      </c>
      <c r="E289" s="21" t="s">
        <v>44</v>
      </c>
      <c r="F289" s="29">
        <v>5.72</v>
      </c>
    </row>
    <row r="290" spans="2:6" hidden="1" x14ac:dyDescent="0.25">
      <c r="B290" s="21">
        <v>2445</v>
      </c>
      <c r="C290" s="43">
        <v>46105</v>
      </c>
      <c r="D290" s="43" t="s">
        <v>437</v>
      </c>
      <c r="E290" s="21" t="s">
        <v>18</v>
      </c>
      <c r="F290" s="29">
        <v>-96.75</v>
      </c>
    </row>
    <row r="291" spans="2:6" hidden="1" x14ac:dyDescent="0.25">
      <c r="B291" s="21">
        <v>2445</v>
      </c>
      <c r="C291" s="43">
        <v>46105</v>
      </c>
      <c r="D291" s="43" t="s">
        <v>440</v>
      </c>
      <c r="E291" s="21" t="s">
        <v>44</v>
      </c>
      <c r="F291" s="29">
        <v>-203.21</v>
      </c>
    </row>
    <row r="292" spans="2:6" hidden="1" x14ac:dyDescent="0.25">
      <c r="B292" s="21">
        <v>5676</v>
      </c>
      <c r="C292" s="43">
        <v>46105</v>
      </c>
      <c r="D292" s="43" t="s">
        <v>70</v>
      </c>
      <c r="E292" s="21" t="s">
        <v>18</v>
      </c>
      <c r="F292" s="29">
        <v>32.25</v>
      </c>
    </row>
    <row r="293" spans="2:6" hidden="1" x14ac:dyDescent="0.25">
      <c r="B293" s="21">
        <v>2445</v>
      </c>
      <c r="C293" s="43">
        <v>46106</v>
      </c>
      <c r="D293" s="43" t="s">
        <v>437</v>
      </c>
      <c r="E293" s="21" t="s">
        <v>18</v>
      </c>
      <c r="F293" s="29">
        <v>-9</v>
      </c>
    </row>
    <row r="294" spans="2:6" hidden="1" x14ac:dyDescent="0.25">
      <c r="B294" s="21">
        <v>31005</v>
      </c>
      <c r="C294" s="43">
        <v>46106</v>
      </c>
      <c r="D294" s="43" t="s">
        <v>472</v>
      </c>
      <c r="E294" s="21" t="s">
        <v>18</v>
      </c>
      <c r="F294" s="21">
        <v>32.25</v>
      </c>
    </row>
    <row r="295" spans="2:6" hidden="1" x14ac:dyDescent="0.25">
      <c r="B295" s="21">
        <v>5676</v>
      </c>
      <c r="C295" s="43">
        <v>46106</v>
      </c>
      <c r="D295" s="43" t="s">
        <v>70</v>
      </c>
      <c r="E295" s="21" t="s">
        <v>18</v>
      </c>
      <c r="F295" s="29">
        <v>32.25</v>
      </c>
    </row>
    <row r="296" spans="2:6" hidden="1" x14ac:dyDescent="0.25">
      <c r="B296" s="21">
        <v>9495</v>
      </c>
      <c r="C296" s="43">
        <v>46107</v>
      </c>
      <c r="D296" s="43" t="s">
        <v>63</v>
      </c>
      <c r="E296" s="21" t="s">
        <v>11</v>
      </c>
      <c r="F296" s="29">
        <v>26.1</v>
      </c>
    </row>
    <row r="297" spans="2:6" hidden="1" x14ac:dyDescent="0.25">
      <c r="B297" s="21">
        <v>9495</v>
      </c>
      <c r="C297" s="43">
        <v>46107</v>
      </c>
      <c r="D297" s="43" t="s">
        <v>387</v>
      </c>
      <c r="E297" s="21" t="s">
        <v>13</v>
      </c>
      <c r="F297" s="29">
        <v>36.76</v>
      </c>
    </row>
    <row r="298" spans="2:6" hidden="1" x14ac:dyDescent="0.25">
      <c r="B298" s="21">
        <v>31005</v>
      </c>
      <c r="C298" s="43">
        <v>46108</v>
      </c>
      <c r="D298" s="43" t="s">
        <v>468</v>
      </c>
      <c r="E298" s="21" t="s">
        <v>14</v>
      </c>
      <c r="F298" s="21">
        <v>10</v>
      </c>
    </row>
    <row r="299" spans="2:6" hidden="1" x14ac:dyDescent="0.25">
      <c r="B299" s="21">
        <v>9495</v>
      </c>
      <c r="C299" s="43">
        <v>46108</v>
      </c>
      <c r="D299" s="43" t="s">
        <v>423</v>
      </c>
      <c r="E299" s="21" t="s">
        <v>44</v>
      </c>
      <c r="F299" s="29">
        <v>37.19</v>
      </c>
    </row>
    <row r="300" spans="2:6" hidden="1" x14ac:dyDescent="0.25">
      <c r="B300" s="21">
        <v>9495</v>
      </c>
      <c r="C300" s="43">
        <v>46108</v>
      </c>
      <c r="D300" s="43" t="s">
        <v>424</v>
      </c>
      <c r="E300" s="21" t="s">
        <v>9</v>
      </c>
      <c r="F300" s="29">
        <v>15.51</v>
      </c>
    </row>
    <row r="301" spans="2:6" hidden="1" x14ac:dyDescent="0.25">
      <c r="B301" s="21">
        <v>9495</v>
      </c>
      <c r="C301" s="43">
        <v>46108</v>
      </c>
      <c r="D301" s="43" t="s">
        <v>389</v>
      </c>
      <c r="E301" s="21" t="s">
        <v>13</v>
      </c>
      <c r="F301" s="29">
        <v>209</v>
      </c>
    </row>
    <row r="302" spans="2:6" hidden="1" x14ac:dyDescent="0.25">
      <c r="B302" s="21">
        <v>2445</v>
      </c>
      <c r="C302" s="43">
        <v>46108</v>
      </c>
      <c r="D302" s="43" t="s">
        <v>452</v>
      </c>
      <c r="E302" s="21" t="s">
        <v>44</v>
      </c>
      <c r="F302" s="29">
        <v>-0.01</v>
      </c>
    </row>
    <row r="303" spans="2:6" hidden="1" x14ac:dyDescent="0.25">
      <c r="B303" s="21">
        <v>2445</v>
      </c>
      <c r="C303" s="43">
        <v>46108</v>
      </c>
      <c r="D303" s="43" t="s">
        <v>436</v>
      </c>
      <c r="E303" s="21" t="s">
        <v>196</v>
      </c>
      <c r="F303" s="29">
        <v>-22.43</v>
      </c>
    </row>
    <row r="304" spans="2:6" hidden="1" x14ac:dyDescent="0.25">
      <c r="B304" s="21">
        <v>31005</v>
      </c>
      <c r="C304" s="43">
        <v>46110</v>
      </c>
      <c r="D304" s="43" t="s">
        <v>477</v>
      </c>
      <c r="E304" s="21" t="s">
        <v>8</v>
      </c>
      <c r="F304" s="21">
        <v>1.99</v>
      </c>
    </row>
    <row r="305" spans="2:6" hidden="1" x14ac:dyDescent="0.25">
      <c r="B305" s="21">
        <v>31005</v>
      </c>
      <c r="C305" s="43">
        <v>46110</v>
      </c>
      <c r="D305" s="43" t="s">
        <v>478</v>
      </c>
      <c r="E305" s="21" t="s">
        <v>8</v>
      </c>
      <c r="F305" s="21">
        <v>300</v>
      </c>
    </row>
    <row r="306" spans="2:6" hidden="1" x14ac:dyDescent="0.25">
      <c r="B306" s="21">
        <v>31005</v>
      </c>
      <c r="C306" s="43">
        <v>46110</v>
      </c>
      <c r="D306" s="43" t="s">
        <v>476</v>
      </c>
      <c r="E306" s="21" t="s">
        <v>9</v>
      </c>
      <c r="F306" s="21">
        <v>24.45</v>
      </c>
    </row>
    <row r="307" spans="2:6" hidden="1" x14ac:dyDescent="0.25">
      <c r="B307" s="21">
        <v>9203</v>
      </c>
      <c r="C307" s="43">
        <v>46110</v>
      </c>
      <c r="D307" s="43" t="s">
        <v>297</v>
      </c>
      <c r="E307" s="21" t="s">
        <v>75</v>
      </c>
      <c r="F307" s="21">
        <v>15.93</v>
      </c>
    </row>
    <row r="308" spans="2:6" hidden="1" x14ac:dyDescent="0.25">
      <c r="B308" s="21">
        <v>9495</v>
      </c>
      <c r="C308" s="43">
        <v>46110</v>
      </c>
      <c r="D308" s="43" t="s">
        <v>373</v>
      </c>
      <c r="E308" s="21" t="s">
        <v>27</v>
      </c>
      <c r="F308" s="29">
        <v>25</v>
      </c>
    </row>
    <row r="309" spans="2:6" hidden="1" x14ac:dyDescent="0.25">
      <c r="B309" s="21">
        <v>9495</v>
      </c>
      <c r="C309" s="43">
        <v>46110</v>
      </c>
      <c r="D309" s="43" t="s">
        <v>279</v>
      </c>
      <c r="E309" s="21" t="s">
        <v>44</v>
      </c>
      <c r="F309" s="29">
        <v>5.72</v>
      </c>
    </row>
    <row r="310" spans="2:6" hidden="1" x14ac:dyDescent="0.25">
      <c r="B310" s="21">
        <v>31005</v>
      </c>
      <c r="C310" s="43">
        <v>46111</v>
      </c>
      <c r="D310" s="43" t="s">
        <v>475</v>
      </c>
      <c r="E310" s="21" t="s">
        <v>6</v>
      </c>
      <c r="F310" s="21">
        <v>24.15</v>
      </c>
    </row>
    <row r="311" spans="2:6" hidden="1" x14ac:dyDescent="0.25">
      <c r="B311" s="21">
        <v>31005</v>
      </c>
      <c r="C311" s="43">
        <v>46111</v>
      </c>
      <c r="D311" s="43" t="s">
        <v>470</v>
      </c>
      <c r="E311" s="21" t="s">
        <v>9</v>
      </c>
      <c r="F311" s="21">
        <v>15.52</v>
      </c>
    </row>
    <row r="312" spans="2:6" hidden="1" x14ac:dyDescent="0.25">
      <c r="B312" s="21">
        <v>31005</v>
      </c>
      <c r="C312" s="43">
        <v>46111</v>
      </c>
      <c r="D312" s="43" t="s">
        <v>472</v>
      </c>
      <c r="E312" s="21" t="s">
        <v>18</v>
      </c>
      <c r="F312" s="21">
        <v>32.25</v>
      </c>
    </row>
    <row r="313" spans="2:6" hidden="1" x14ac:dyDescent="0.25">
      <c r="B313" s="21">
        <v>9495</v>
      </c>
      <c r="C313" s="43">
        <v>46111</v>
      </c>
      <c r="D313" s="43" t="s">
        <v>91</v>
      </c>
      <c r="E313" s="21" t="s">
        <v>44</v>
      </c>
      <c r="F313" s="29">
        <v>-1.86</v>
      </c>
    </row>
    <row r="314" spans="2:6" hidden="1" x14ac:dyDescent="0.25">
      <c r="B314" s="21">
        <v>9495</v>
      </c>
      <c r="C314" s="43">
        <v>46111</v>
      </c>
      <c r="D314" s="43" t="s">
        <v>279</v>
      </c>
      <c r="E314" s="21" t="s">
        <v>44</v>
      </c>
      <c r="F314" s="29">
        <v>5.83</v>
      </c>
    </row>
    <row r="315" spans="2:6" hidden="1" x14ac:dyDescent="0.25">
      <c r="B315" s="21">
        <v>9495</v>
      </c>
      <c r="C315" s="43">
        <v>46111</v>
      </c>
      <c r="D315" s="43" t="s">
        <v>388</v>
      </c>
      <c r="E315" s="21" t="s">
        <v>10</v>
      </c>
      <c r="F315" s="29">
        <v>21.22</v>
      </c>
    </row>
    <row r="316" spans="2:6" hidden="1" x14ac:dyDescent="0.25">
      <c r="B316" s="21">
        <v>9495</v>
      </c>
      <c r="C316" s="43">
        <v>46111</v>
      </c>
      <c r="D316" s="43" t="s">
        <v>387</v>
      </c>
      <c r="E316" s="21" t="s">
        <v>13</v>
      </c>
      <c r="F316" s="29">
        <v>18.05</v>
      </c>
    </row>
    <row r="317" spans="2:6" hidden="1" x14ac:dyDescent="0.25">
      <c r="B317" s="21">
        <v>2445</v>
      </c>
      <c r="C317" s="43">
        <v>46111</v>
      </c>
      <c r="D317" s="43" t="s">
        <v>450</v>
      </c>
      <c r="E317" s="21" t="s">
        <v>196</v>
      </c>
      <c r="F317" s="29">
        <v>50</v>
      </c>
    </row>
    <row r="318" spans="2:6" hidden="1" x14ac:dyDescent="0.25">
      <c r="B318" s="21">
        <v>2445</v>
      </c>
      <c r="C318" s="43">
        <v>46111</v>
      </c>
      <c r="D318" s="43" t="s">
        <v>451</v>
      </c>
      <c r="E318" s="21" t="s">
        <v>196</v>
      </c>
      <c r="F318" s="29">
        <v>60.28</v>
      </c>
    </row>
    <row r="319" spans="2:6" hidden="1" x14ac:dyDescent="0.25">
      <c r="B319" s="21">
        <v>31005</v>
      </c>
      <c r="C319" s="43">
        <v>46112</v>
      </c>
      <c r="D319" s="43" t="s">
        <v>472</v>
      </c>
      <c r="E319" s="21" t="s">
        <v>18</v>
      </c>
      <c r="F319" s="21">
        <v>32.25</v>
      </c>
    </row>
    <row r="320" spans="2:6" hidden="1" x14ac:dyDescent="0.25">
      <c r="B320" s="21">
        <v>9495</v>
      </c>
      <c r="C320" s="43">
        <v>46112</v>
      </c>
      <c r="D320" s="43" t="s">
        <v>387</v>
      </c>
      <c r="E320" s="21" t="s">
        <v>13</v>
      </c>
      <c r="F320" s="29">
        <v>39.24</v>
      </c>
    </row>
    <row r="321" spans="2:6" hidden="1" x14ac:dyDescent="0.25">
      <c r="B321" s="21">
        <v>2445</v>
      </c>
      <c r="C321" s="43">
        <v>46112</v>
      </c>
      <c r="D321" s="43" t="s">
        <v>440</v>
      </c>
      <c r="E321" s="21" t="s">
        <v>44</v>
      </c>
      <c r="F321" s="29">
        <v>-133.52000000000001</v>
      </c>
    </row>
    <row r="322" spans="2:6" hidden="1" x14ac:dyDescent="0.25">
      <c r="B322" s="21">
        <v>31005</v>
      </c>
      <c r="C322" s="43">
        <v>46113</v>
      </c>
      <c r="D322" s="43" t="s">
        <v>472</v>
      </c>
      <c r="E322" s="21" t="s">
        <v>18</v>
      </c>
      <c r="F322" s="21">
        <v>32.25</v>
      </c>
    </row>
    <row r="323" spans="2:6" hidden="1" x14ac:dyDescent="0.25">
      <c r="B323" s="21">
        <v>9203</v>
      </c>
      <c r="C323" s="43">
        <v>46113</v>
      </c>
      <c r="D323" s="43" t="s">
        <v>297</v>
      </c>
      <c r="E323" s="21" t="s">
        <v>75</v>
      </c>
      <c r="F323" s="21">
        <v>2.99</v>
      </c>
    </row>
    <row r="324" spans="2:6" hidden="1" x14ac:dyDescent="0.25">
      <c r="B324" s="21">
        <v>9495</v>
      </c>
      <c r="C324" s="43">
        <v>46113</v>
      </c>
      <c r="D324" s="43" t="s">
        <v>386</v>
      </c>
      <c r="E324" s="21" t="s">
        <v>432</v>
      </c>
      <c r="F324" s="29">
        <v>195</v>
      </c>
    </row>
    <row r="325" spans="2:6" hidden="1" x14ac:dyDescent="0.25">
      <c r="B325" s="21">
        <v>9495</v>
      </c>
      <c r="C325" s="43">
        <v>46113</v>
      </c>
      <c r="D325" s="43" t="s">
        <v>386</v>
      </c>
      <c r="E325" s="21" t="s">
        <v>432</v>
      </c>
      <c r="F325" s="29">
        <v>795</v>
      </c>
    </row>
    <row r="326" spans="2:6" hidden="1" x14ac:dyDescent="0.25">
      <c r="B326" s="21">
        <v>2445</v>
      </c>
      <c r="C326" s="43">
        <v>46113</v>
      </c>
      <c r="D326" s="43" t="s">
        <v>448</v>
      </c>
      <c r="E326" s="21" t="s">
        <v>196</v>
      </c>
      <c r="F326" s="29">
        <v>325</v>
      </c>
    </row>
    <row r="327" spans="2:6" hidden="1" x14ac:dyDescent="0.25">
      <c r="B327" s="21">
        <v>2445</v>
      </c>
      <c r="C327" s="43">
        <v>46113</v>
      </c>
      <c r="D327" s="43" t="s">
        <v>449</v>
      </c>
      <c r="E327" s="21" t="s">
        <v>13</v>
      </c>
      <c r="F327" s="29">
        <v>15</v>
      </c>
    </row>
    <row r="328" spans="2:6" hidden="1" x14ac:dyDescent="0.25">
      <c r="B328" s="21">
        <v>31005</v>
      </c>
      <c r="C328" s="43">
        <v>46114</v>
      </c>
      <c r="D328" s="43" t="s">
        <v>474</v>
      </c>
      <c r="E328" s="21" t="s">
        <v>432</v>
      </c>
      <c r="F328" s="21">
        <v>-200</v>
      </c>
    </row>
    <row r="329" spans="2:6" hidden="1" x14ac:dyDescent="0.25">
      <c r="B329" s="21">
        <v>31005</v>
      </c>
      <c r="C329" s="43">
        <v>46114</v>
      </c>
      <c r="D329" s="43" t="s">
        <v>473</v>
      </c>
      <c r="E329" s="21" t="s">
        <v>511</v>
      </c>
      <c r="F329" s="21">
        <v>605</v>
      </c>
    </row>
    <row r="330" spans="2:6" hidden="1" x14ac:dyDescent="0.25">
      <c r="B330" s="21">
        <v>31005</v>
      </c>
      <c r="C330" s="43">
        <v>46114</v>
      </c>
      <c r="D330" s="43" t="s">
        <v>472</v>
      </c>
      <c r="E330" s="21" t="s">
        <v>18</v>
      </c>
      <c r="F330" s="21">
        <v>32.25</v>
      </c>
    </row>
    <row r="331" spans="2:6" hidden="1" x14ac:dyDescent="0.25">
      <c r="B331" s="21">
        <v>9203</v>
      </c>
      <c r="C331" s="43">
        <v>46114</v>
      </c>
      <c r="D331" s="43" t="s">
        <v>316</v>
      </c>
      <c r="E331" s="21" t="s">
        <v>44</v>
      </c>
      <c r="F331" s="21">
        <v>34.43</v>
      </c>
    </row>
    <row r="332" spans="2:6" hidden="1" x14ac:dyDescent="0.25">
      <c r="B332" s="21">
        <v>31005</v>
      </c>
      <c r="C332" s="43">
        <v>46115</v>
      </c>
      <c r="D332" s="43" t="s">
        <v>472</v>
      </c>
      <c r="E332" s="21" t="s">
        <v>18</v>
      </c>
      <c r="F332" s="21">
        <v>32.25</v>
      </c>
    </row>
    <row r="333" spans="2:6" hidden="1" x14ac:dyDescent="0.25">
      <c r="B333" s="21">
        <v>9495</v>
      </c>
      <c r="C333" s="43">
        <v>46115</v>
      </c>
      <c r="D333" s="43" t="s">
        <v>216</v>
      </c>
      <c r="E333" s="21" t="s">
        <v>11</v>
      </c>
      <c r="F333" s="29">
        <v>25</v>
      </c>
    </row>
    <row r="334" spans="2:6" hidden="1" x14ac:dyDescent="0.25">
      <c r="B334" s="21">
        <v>9203</v>
      </c>
      <c r="C334" s="43">
        <v>46117</v>
      </c>
      <c r="D334" s="43" t="s">
        <v>277</v>
      </c>
      <c r="E334" s="21" t="s">
        <v>18</v>
      </c>
      <c r="F334" s="21">
        <v>1</v>
      </c>
    </row>
    <row r="335" spans="2:6" hidden="1" x14ac:dyDescent="0.25">
      <c r="B335" s="21">
        <v>9495</v>
      </c>
      <c r="C335" s="43">
        <v>46117</v>
      </c>
      <c r="D335" s="43" t="s">
        <v>279</v>
      </c>
      <c r="E335" s="21" t="s">
        <v>44</v>
      </c>
      <c r="F335" s="29">
        <v>11.96</v>
      </c>
    </row>
    <row r="336" spans="2:6" hidden="1" x14ac:dyDescent="0.25">
      <c r="B336" s="21">
        <v>31005</v>
      </c>
      <c r="C336" s="43">
        <v>46118</v>
      </c>
      <c r="D336" s="43" t="s">
        <v>472</v>
      </c>
      <c r="E336" s="21" t="s">
        <v>18</v>
      </c>
      <c r="F336" s="21">
        <v>32.25</v>
      </c>
    </row>
    <row r="337" spans="2:6" hidden="1" x14ac:dyDescent="0.25">
      <c r="B337" s="21">
        <v>9203</v>
      </c>
      <c r="C337" s="43">
        <v>46118</v>
      </c>
      <c r="D337" s="43" t="s">
        <v>314</v>
      </c>
      <c r="E337" s="21" t="s">
        <v>6</v>
      </c>
      <c r="F337" s="21">
        <v>3.98</v>
      </c>
    </row>
    <row r="338" spans="2:6" hidden="1" x14ac:dyDescent="0.25">
      <c r="B338" s="21">
        <v>9203</v>
      </c>
      <c r="C338" s="43">
        <v>46118</v>
      </c>
      <c r="D338" s="43" t="s">
        <v>313</v>
      </c>
      <c r="E338" s="21" t="s">
        <v>10</v>
      </c>
      <c r="F338" s="21">
        <v>37.18</v>
      </c>
    </row>
    <row r="339" spans="2:6" hidden="1" x14ac:dyDescent="0.25">
      <c r="B339" s="21">
        <v>9203</v>
      </c>
      <c r="C339" s="43">
        <v>46118</v>
      </c>
      <c r="D339" s="43" t="s">
        <v>315</v>
      </c>
      <c r="E339" s="21" t="s">
        <v>10</v>
      </c>
      <c r="F339" s="21">
        <v>98</v>
      </c>
    </row>
    <row r="340" spans="2:6" hidden="1" x14ac:dyDescent="0.25">
      <c r="B340" s="21">
        <v>9495</v>
      </c>
      <c r="C340" s="43">
        <v>46118</v>
      </c>
      <c r="D340" s="43" t="s">
        <v>422</v>
      </c>
      <c r="E340" s="21" t="s">
        <v>44</v>
      </c>
      <c r="F340" s="29">
        <v>42.75</v>
      </c>
    </row>
    <row r="341" spans="2:6" hidden="1" x14ac:dyDescent="0.25">
      <c r="B341" s="21">
        <v>2445</v>
      </c>
      <c r="C341" s="43">
        <v>46118</v>
      </c>
      <c r="D341" s="43" t="s">
        <v>436</v>
      </c>
      <c r="E341" s="21" t="s">
        <v>196</v>
      </c>
      <c r="F341" s="29">
        <v>-40</v>
      </c>
    </row>
    <row r="342" spans="2:6" hidden="1" x14ac:dyDescent="0.25">
      <c r="B342" s="21">
        <v>31005</v>
      </c>
      <c r="C342" s="43">
        <v>46119</v>
      </c>
      <c r="D342" s="43" t="s">
        <v>472</v>
      </c>
      <c r="E342" s="21" t="s">
        <v>18</v>
      </c>
      <c r="F342" s="21">
        <v>32.25</v>
      </c>
    </row>
    <row r="343" spans="2:6" hidden="1" x14ac:dyDescent="0.25">
      <c r="B343" s="21">
        <v>9203</v>
      </c>
      <c r="C343" s="43">
        <v>46119</v>
      </c>
      <c r="D343" s="43" t="s">
        <v>312</v>
      </c>
      <c r="E343" s="21" t="s">
        <v>6</v>
      </c>
      <c r="F343" s="21">
        <v>24.25</v>
      </c>
    </row>
    <row r="344" spans="2:6" hidden="1" x14ac:dyDescent="0.25">
      <c r="B344" s="21">
        <v>2445</v>
      </c>
      <c r="C344" s="43">
        <v>46119</v>
      </c>
      <c r="D344" s="43" t="s">
        <v>440</v>
      </c>
      <c r="E344" s="21" t="s">
        <v>44</v>
      </c>
      <c r="F344" s="29">
        <v>-60.38</v>
      </c>
    </row>
    <row r="345" spans="2:6" hidden="1" x14ac:dyDescent="0.25">
      <c r="B345" s="21">
        <v>2445</v>
      </c>
      <c r="C345" s="43">
        <v>46119</v>
      </c>
      <c r="D345" s="43" t="s">
        <v>437</v>
      </c>
      <c r="E345" s="21" t="s">
        <v>18</v>
      </c>
      <c r="F345" s="29">
        <v>-129</v>
      </c>
    </row>
    <row r="346" spans="2:6" hidden="1" x14ac:dyDescent="0.25">
      <c r="B346" s="21">
        <v>31005</v>
      </c>
      <c r="C346" s="43">
        <v>46120</v>
      </c>
      <c r="D346" s="43" t="s">
        <v>472</v>
      </c>
      <c r="E346" s="21" t="s">
        <v>18</v>
      </c>
      <c r="F346" s="21">
        <v>32.25</v>
      </c>
    </row>
    <row r="347" spans="2:6" hidden="1" x14ac:dyDescent="0.25">
      <c r="B347" s="21">
        <v>9203</v>
      </c>
      <c r="C347" s="43">
        <v>46140</v>
      </c>
      <c r="D347" s="43" t="s">
        <v>283</v>
      </c>
      <c r="E347" s="21" t="s">
        <v>17</v>
      </c>
      <c r="F347" s="21">
        <v>56</v>
      </c>
    </row>
    <row r="348" spans="2:6" hidden="1" x14ac:dyDescent="0.25">
      <c r="B348" s="21">
        <v>9203</v>
      </c>
      <c r="C348" s="43">
        <v>46120</v>
      </c>
      <c r="D348" s="43" t="s">
        <v>311</v>
      </c>
      <c r="E348" s="21" t="s">
        <v>7</v>
      </c>
      <c r="F348" s="21">
        <v>51.77</v>
      </c>
    </row>
    <row r="349" spans="2:6" hidden="1" x14ac:dyDescent="0.25">
      <c r="B349" s="21">
        <v>9203</v>
      </c>
      <c r="C349" s="43">
        <v>46120</v>
      </c>
      <c r="D349" s="43" t="s">
        <v>310</v>
      </c>
      <c r="E349" s="21" t="s">
        <v>7</v>
      </c>
      <c r="F349" s="21">
        <v>79.31</v>
      </c>
    </row>
    <row r="350" spans="2:6" hidden="1" x14ac:dyDescent="0.25">
      <c r="B350" s="21">
        <v>9495</v>
      </c>
      <c r="C350" s="43">
        <v>46120</v>
      </c>
      <c r="D350" s="43" t="s">
        <v>279</v>
      </c>
      <c r="E350" s="21" t="s">
        <v>44</v>
      </c>
      <c r="F350" s="29">
        <v>5.89</v>
      </c>
    </row>
    <row r="351" spans="2:6" hidden="1" x14ac:dyDescent="0.25">
      <c r="B351" s="21">
        <v>9495</v>
      </c>
      <c r="C351" s="43">
        <v>46120</v>
      </c>
      <c r="D351" s="43" t="s">
        <v>279</v>
      </c>
      <c r="E351" s="21" t="s">
        <v>44</v>
      </c>
      <c r="F351" s="29">
        <v>5.89</v>
      </c>
    </row>
    <row r="352" spans="2:6" hidden="1" x14ac:dyDescent="0.25">
      <c r="B352" s="21">
        <v>2445</v>
      </c>
      <c r="C352" s="43">
        <v>46120</v>
      </c>
      <c r="D352" s="43" t="s">
        <v>447</v>
      </c>
      <c r="E352" s="21" t="s">
        <v>44</v>
      </c>
      <c r="F352" s="29">
        <v>-37</v>
      </c>
    </row>
    <row r="353" spans="2:6" hidden="1" x14ac:dyDescent="0.25">
      <c r="B353" s="21">
        <v>2445</v>
      </c>
      <c r="C353" s="43">
        <v>46121</v>
      </c>
      <c r="D353" s="43" t="s">
        <v>445</v>
      </c>
      <c r="E353" s="21" t="s">
        <v>196</v>
      </c>
      <c r="F353" s="29">
        <v>100</v>
      </c>
    </row>
    <row r="354" spans="2:6" hidden="1" x14ac:dyDescent="0.25">
      <c r="B354" s="21">
        <v>2445</v>
      </c>
      <c r="C354" s="43">
        <v>46121</v>
      </c>
      <c r="D354" s="43" t="s">
        <v>446</v>
      </c>
      <c r="E354" s="21" t="s">
        <v>196</v>
      </c>
      <c r="F354" s="29">
        <v>325</v>
      </c>
    </row>
    <row r="355" spans="2:6" hidden="1" x14ac:dyDescent="0.25">
      <c r="B355" s="21">
        <v>9495</v>
      </c>
      <c r="C355" s="43">
        <v>46122</v>
      </c>
      <c r="D355" s="43" t="s">
        <v>385</v>
      </c>
      <c r="E355" s="21" t="s">
        <v>44</v>
      </c>
      <c r="F355" s="29">
        <v>19.489999999999998</v>
      </c>
    </row>
    <row r="356" spans="2:6" hidden="1" x14ac:dyDescent="0.25">
      <c r="B356" s="21">
        <v>9495</v>
      </c>
      <c r="C356" s="43">
        <v>46122</v>
      </c>
      <c r="D356" s="43" t="s">
        <v>300</v>
      </c>
      <c r="E356" s="21" t="s">
        <v>44</v>
      </c>
      <c r="F356" s="29">
        <v>86.3</v>
      </c>
    </row>
    <row r="357" spans="2:6" hidden="1" x14ac:dyDescent="0.25">
      <c r="B357" s="21">
        <v>9495</v>
      </c>
      <c r="C357" s="43">
        <v>46122</v>
      </c>
      <c r="D357" s="43" t="s">
        <v>70</v>
      </c>
      <c r="E357" s="21" t="s">
        <v>18</v>
      </c>
      <c r="F357" s="29">
        <v>32.25</v>
      </c>
    </row>
    <row r="358" spans="2:6" hidden="1" x14ac:dyDescent="0.25">
      <c r="B358" s="21">
        <v>31005</v>
      </c>
      <c r="C358" s="43">
        <v>46124</v>
      </c>
      <c r="D358" s="43" t="s">
        <v>471</v>
      </c>
      <c r="E358" s="21" t="s">
        <v>9</v>
      </c>
      <c r="F358" s="21">
        <v>46</v>
      </c>
    </row>
    <row r="359" spans="2:6" hidden="1" x14ac:dyDescent="0.25">
      <c r="B359" s="21">
        <v>9495</v>
      </c>
      <c r="C359" s="43">
        <v>46124</v>
      </c>
      <c r="D359" s="43" t="s">
        <v>373</v>
      </c>
      <c r="E359" s="21" t="s">
        <v>27</v>
      </c>
      <c r="F359" s="29">
        <v>25</v>
      </c>
    </row>
    <row r="360" spans="2:6" hidden="1" x14ac:dyDescent="0.25">
      <c r="B360" s="21">
        <v>9495</v>
      </c>
      <c r="C360" s="43">
        <v>46124</v>
      </c>
      <c r="D360" s="43" t="s">
        <v>279</v>
      </c>
      <c r="E360" s="21" t="s">
        <v>44</v>
      </c>
      <c r="F360" s="29">
        <v>24.8</v>
      </c>
    </row>
    <row r="361" spans="2:6" hidden="1" x14ac:dyDescent="0.25">
      <c r="B361" s="21">
        <v>9495</v>
      </c>
      <c r="C361" s="43">
        <v>46124</v>
      </c>
      <c r="D361" s="43" t="s">
        <v>285</v>
      </c>
      <c r="E361" s="21" t="s">
        <v>11</v>
      </c>
      <c r="F361" s="29">
        <v>13.72</v>
      </c>
    </row>
    <row r="362" spans="2:6" hidden="1" x14ac:dyDescent="0.25">
      <c r="B362" s="21">
        <v>9495</v>
      </c>
      <c r="C362" s="43">
        <v>46124</v>
      </c>
      <c r="D362" s="43" t="s">
        <v>384</v>
      </c>
      <c r="E362" s="21" t="s">
        <v>9</v>
      </c>
      <c r="F362" s="29">
        <v>3.81</v>
      </c>
    </row>
    <row r="363" spans="2:6" hidden="1" x14ac:dyDescent="0.25">
      <c r="B363" s="21">
        <v>9495</v>
      </c>
      <c r="C363" s="43">
        <v>46124</v>
      </c>
      <c r="D363" s="43" t="s">
        <v>70</v>
      </c>
      <c r="E363" s="21" t="s">
        <v>18</v>
      </c>
      <c r="F363" s="29">
        <v>32.25</v>
      </c>
    </row>
    <row r="364" spans="2:6" hidden="1" x14ac:dyDescent="0.25">
      <c r="B364" s="21">
        <v>9495</v>
      </c>
      <c r="C364" s="27">
        <v>46124</v>
      </c>
      <c r="D364" s="43" t="s">
        <v>322</v>
      </c>
      <c r="E364" s="21" t="s">
        <v>9</v>
      </c>
      <c r="F364" s="28">
        <v>28.88</v>
      </c>
    </row>
    <row r="365" spans="2:6" hidden="1" x14ac:dyDescent="0.25">
      <c r="B365" s="21">
        <v>9495</v>
      </c>
      <c r="C365" s="43">
        <v>46125</v>
      </c>
      <c r="D365" s="43" t="s">
        <v>382</v>
      </c>
      <c r="E365" s="21" t="s">
        <v>6</v>
      </c>
      <c r="F365" s="29">
        <v>193.85</v>
      </c>
    </row>
    <row r="366" spans="2:6" hidden="1" x14ac:dyDescent="0.25">
      <c r="B366" s="21">
        <v>9495</v>
      </c>
      <c r="C366" s="43">
        <v>46125</v>
      </c>
      <c r="D366" s="43" t="s">
        <v>383</v>
      </c>
      <c r="E366" s="21" t="s">
        <v>10</v>
      </c>
      <c r="F366" s="29">
        <v>74.36</v>
      </c>
    </row>
    <row r="367" spans="2:6" hidden="1" x14ac:dyDescent="0.25">
      <c r="B367" s="21">
        <v>2445</v>
      </c>
      <c r="C367" s="43">
        <v>46125</v>
      </c>
      <c r="D367" s="43" t="s">
        <v>437</v>
      </c>
      <c r="E367" s="21" t="s">
        <v>18</v>
      </c>
      <c r="F367" s="29">
        <v>-161.25</v>
      </c>
    </row>
    <row r="368" spans="2:6" hidden="1" x14ac:dyDescent="0.25">
      <c r="B368" s="21">
        <v>31005</v>
      </c>
      <c r="C368" s="43">
        <v>46126</v>
      </c>
      <c r="D368" s="43" t="s">
        <v>470</v>
      </c>
      <c r="E368" s="21" t="s">
        <v>9</v>
      </c>
      <c r="F368" s="21">
        <v>15.52</v>
      </c>
    </row>
    <row r="369" spans="2:6" hidden="1" x14ac:dyDescent="0.25">
      <c r="B369" s="21">
        <v>9495</v>
      </c>
      <c r="C369" s="43">
        <v>46126</v>
      </c>
      <c r="D369" s="43" t="s">
        <v>381</v>
      </c>
      <c r="E369" s="21" t="s">
        <v>9</v>
      </c>
      <c r="F369" s="29">
        <v>10</v>
      </c>
    </row>
    <row r="370" spans="2:6" hidden="1" x14ac:dyDescent="0.25">
      <c r="B370" s="21">
        <v>2445</v>
      </c>
      <c r="C370" s="43">
        <v>46126</v>
      </c>
      <c r="D370" s="43" t="s">
        <v>444</v>
      </c>
      <c r="E370" s="21" t="s">
        <v>196</v>
      </c>
      <c r="F370" s="29">
        <v>1596.07</v>
      </c>
    </row>
    <row r="371" spans="2:6" hidden="1" x14ac:dyDescent="0.25">
      <c r="B371" s="21">
        <v>2445</v>
      </c>
      <c r="C371" s="43">
        <v>46126</v>
      </c>
      <c r="D371" s="43" t="s">
        <v>437</v>
      </c>
      <c r="E371" s="21" t="s">
        <v>18</v>
      </c>
      <c r="F371" s="29">
        <v>-96.75</v>
      </c>
    </row>
    <row r="372" spans="2:6" hidden="1" x14ac:dyDescent="0.25">
      <c r="B372" s="21">
        <v>2445</v>
      </c>
      <c r="C372" s="43">
        <v>46126</v>
      </c>
      <c r="D372" s="43" t="s">
        <v>440</v>
      </c>
      <c r="E372" s="21" t="s">
        <v>44</v>
      </c>
      <c r="F372" s="29">
        <v>-207.69</v>
      </c>
    </row>
    <row r="373" spans="2:6" hidden="1" x14ac:dyDescent="0.25">
      <c r="B373" s="21">
        <v>9203</v>
      </c>
      <c r="C373" s="43">
        <v>46127</v>
      </c>
      <c r="D373" s="43" t="s">
        <v>308</v>
      </c>
      <c r="E373" s="21" t="s">
        <v>9</v>
      </c>
      <c r="F373" s="21">
        <v>-0.3</v>
      </c>
    </row>
    <row r="374" spans="2:6" hidden="1" x14ac:dyDescent="0.25">
      <c r="B374" s="21">
        <v>9203</v>
      </c>
      <c r="C374" s="43">
        <v>46127</v>
      </c>
      <c r="D374" s="43" t="s">
        <v>294</v>
      </c>
      <c r="E374" s="21" t="s">
        <v>11</v>
      </c>
      <c r="F374" s="21">
        <v>5</v>
      </c>
    </row>
    <row r="375" spans="2:6" hidden="1" x14ac:dyDescent="0.25">
      <c r="B375" s="21">
        <v>9495</v>
      </c>
      <c r="C375" s="43">
        <v>46127</v>
      </c>
      <c r="D375" s="43" t="s">
        <v>70</v>
      </c>
      <c r="E375" s="21" t="s">
        <v>18</v>
      </c>
      <c r="F375" s="29">
        <v>32.25</v>
      </c>
    </row>
    <row r="376" spans="2:6" hidden="1" x14ac:dyDescent="0.25">
      <c r="B376" s="21">
        <v>9495</v>
      </c>
      <c r="C376" s="43">
        <v>46127</v>
      </c>
      <c r="D376" s="43" t="s">
        <v>279</v>
      </c>
      <c r="E376" s="21" t="s">
        <v>44</v>
      </c>
      <c r="F376" s="29">
        <v>5.58</v>
      </c>
    </row>
    <row r="377" spans="2:6" hidden="1" x14ac:dyDescent="0.25">
      <c r="B377" s="21">
        <v>9495</v>
      </c>
      <c r="C377" s="43">
        <v>46128</v>
      </c>
      <c r="D377" s="43" t="s">
        <v>63</v>
      </c>
      <c r="E377" s="21" t="s">
        <v>11</v>
      </c>
      <c r="F377" s="29">
        <v>26.1</v>
      </c>
    </row>
    <row r="378" spans="2:6" hidden="1" x14ac:dyDescent="0.25">
      <c r="B378" s="21">
        <v>9495</v>
      </c>
      <c r="C378" s="43">
        <v>46128</v>
      </c>
      <c r="D378" s="43" t="s">
        <v>361</v>
      </c>
      <c r="E378" s="21" t="s">
        <v>75</v>
      </c>
      <c r="F378" s="29">
        <v>18.989999999999998</v>
      </c>
    </row>
    <row r="379" spans="2:6" hidden="1" x14ac:dyDescent="0.25">
      <c r="B379" s="21">
        <v>9495</v>
      </c>
      <c r="C379" s="43">
        <v>46128</v>
      </c>
      <c r="D379" s="43" t="s">
        <v>70</v>
      </c>
      <c r="E379" s="21" t="s">
        <v>18</v>
      </c>
      <c r="F379" s="29">
        <v>32.25</v>
      </c>
    </row>
    <row r="380" spans="2:6" hidden="1" x14ac:dyDescent="0.25">
      <c r="B380" s="21">
        <v>2445</v>
      </c>
      <c r="C380" s="43">
        <v>46128</v>
      </c>
      <c r="D380" s="43" t="s">
        <v>437</v>
      </c>
      <c r="E380" s="21" t="s">
        <v>18</v>
      </c>
      <c r="F380" s="29">
        <v>-64.5</v>
      </c>
    </row>
    <row r="381" spans="2:6" hidden="1" x14ac:dyDescent="0.25">
      <c r="B381" s="21">
        <v>9203</v>
      </c>
      <c r="C381" s="43">
        <v>46129</v>
      </c>
      <c r="D381" s="43" t="s">
        <v>307</v>
      </c>
      <c r="E381" s="21" t="s">
        <v>10</v>
      </c>
      <c r="F381" s="21">
        <v>54.17</v>
      </c>
    </row>
    <row r="382" spans="2:6" hidden="1" x14ac:dyDescent="0.25">
      <c r="B382" s="21">
        <v>9495</v>
      </c>
      <c r="C382" s="43">
        <v>46129</v>
      </c>
      <c r="D382" s="43" t="s">
        <v>70</v>
      </c>
      <c r="E382" s="21" t="s">
        <v>18</v>
      </c>
      <c r="F382" s="29">
        <v>32.25</v>
      </c>
    </row>
    <row r="383" spans="2:6" hidden="1" x14ac:dyDescent="0.25">
      <c r="B383" s="21">
        <v>9203</v>
      </c>
      <c r="C383" s="43">
        <v>46132</v>
      </c>
      <c r="D383" s="43" t="s">
        <v>306</v>
      </c>
      <c r="E383" s="21" t="s">
        <v>9</v>
      </c>
      <c r="F383" s="21">
        <v>13.5</v>
      </c>
    </row>
    <row r="384" spans="2:6" hidden="1" x14ac:dyDescent="0.25">
      <c r="B384" s="21">
        <v>9495</v>
      </c>
      <c r="C384" s="43">
        <v>46132</v>
      </c>
      <c r="D384" s="43" t="s">
        <v>279</v>
      </c>
      <c r="E384" s="21" t="s">
        <v>44</v>
      </c>
      <c r="F384" s="29">
        <v>11.29</v>
      </c>
    </row>
    <row r="385" spans="2:6" hidden="1" x14ac:dyDescent="0.25">
      <c r="B385" s="21">
        <v>2445</v>
      </c>
      <c r="C385" s="43">
        <v>46132</v>
      </c>
      <c r="D385" s="43" t="s">
        <v>442</v>
      </c>
      <c r="E385" s="21" t="s">
        <v>196</v>
      </c>
      <c r="F385" s="29">
        <v>3.06</v>
      </c>
    </row>
    <row r="386" spans="2:6" hidden="1" x14ac:dyDescent="0.25">
      <c r="B386" s="21">
        <v>2445</v>
      </c>
      <c r="C386" s="43">
        <v>46132</v>
      </c>
      <c r="D386" s="43" t="s">
        <v>443</v>
      </c>
      <c r="E386" s="21" t="s">
        <v>196</v>
      </c>
      <c r="F386" s="29">
        <v>25</v>
      </c>
    </row>
    <row r="387" spans="2:6" hidden="1" x14ac:dyDescent="0.25">
      <c r="B387" s="21">
        <v>2445</v>
      </c>
      <c r="C387" s="43">
        <v>46132</v>
      </c>
      <c r="D387" s="43" t="s">
        <v>437</v>
      </c>
      <c r="E387" s="21" t="s">
        <v>18</v>
      </c>
      <c r="F387" s="29">
        <v>-64.5</v>
      </c>
    </row>
    <row r="388" spans="2:6" hidden="1" x14ac:dyDescent="0.25">
      <c r="B388" s="21">
        <v>2445</v>
      </c>
      <c r="C388" s="43">
        <v>46132</v>
      </c>
      <c r="D388" s="43" t="s">
        <v>436</v>
      </c>
      <c r="E388" s="21" t="s">
        <v>196</v>
      </c>
      <c r="F388" s="29">
        <v>-97</v>
      </c>
    </row>
    <row r="389" spans="2:6" hidden="1" x14ac:dyDescent="0.25">
      <c r="B389" s="21">
        <v>9203</v>
      </c>
      <c r="C389" s="43">
        <v>46173</v>
      </c>
      <c r="D389" s="43" t="s">
        <v>278</v>
      </c>
      <c r="E389" s="21" t="s">
        <v>17</v>
      </c>
      <c r="F389" s="21">
        <v>53.14</v>
      </c>
    </row>
    <row r="390" spans="2:6" hidden="1" x14ac:dyDescent="0.25">
      <c r="B390" s="21">
        <v>9495</v>
      </c>
      <c r="C390" s="43">
        <v>46133</v>
      </c>
      <c r="D390" s="43" t="s">
        <v>380</v>
      </c>
      <c r="E390" s="21" t="s">
        <v>10</v>
      </c>
      <c r="F390" s="29">
        <v>21.24</v>
      </c>
    </row>
    <row r="391" spans="2:6" hidden="1" x14ac:dyDescent="0.25">
      <c r="B391" s="21">
        <v>9495</v>
      </c>
      <c r="C391" s="43">
        <v>46133</v>
      </c>
      <c r="D391" s="43" t="s">
        <v>279</v>
      </c>
      <c r="E391" s="21" t="s">
        <v>44</v>
      </c>
      <c r="F391" s="29">
        <v>6.04</v>
      </c>
    </row>
    <row r="392" spans="2:6" hidden="1" x14ac:dyDescent="0.25">
      <c r="B392" s="21">
        <v>2445</v>
      </c>
      <c r="C392" s="43">
        <v>46133</v>
      </c>
      <c r="D392" s="43" t="s">
        <v>440</v>
      </c>
      <c r="E392" s="21" t="s">
        <v>44</v>
      </c>
      <c r="F392" s="29">
        <v>-22.71</v>
      </c>
    </row>
    <row r="393" spans="2:6" hidden="1" x14ac:dyDescent="0.25">
      <c r="B393" s="21">
        <v>31005</v>
      </c>
      <c r="C393" s="43">
        <v>46133</v>
      </c>
      <c r="D393" s="43" t="s">
        <v>469</v>
      </c>
      <c r="E393" s="21" t="s">
        <v>75</v>
      </c>
      <c r="F393" s="21">
        <v>82.99</v>
      </c>
    </row>
    <row r="394" spans="2:6" hidden="1" x14ac:dyDescent="0.25">
      <c r="B394" s="21">
        <v>9203</v>
      </c>
      <c r="C394" s="43">
        <v>46134</v>
      </c>
      <c r="D394" s="43" t="s">
        <v>277</v>
      </c>
      <c r="E394" s="21" t="s">
        <v>18</v>
      </c>
      <c r="F394" s="21">
        <v>6</v>
      </c>
    </row>
    <row r="395" spans="2:6" hidden="1" x14ac:dyDescent="0.25">
      <c r="B395" s="21">
        <v>9203</v>
      </c>
      <c r="C395" s="43">
        <v>46134</v>
      </c>
      <c r="D395" s="43" t="s">
        <v>304</v>
      </c>
      <c r="E395" s="21" t="s">
        <v>8</v>
      </c>
      <c r="F395" s="21">
        <v>59.78</v>
      </c>
    </row>
    <row r="396" spans="2:6" hidden="1" x14ac:dyDescent="0.25">
      <c r="B396" s="21">
        <v>9203</v>
      </c>
      <c r="C396" s="43">
        <v>46135</v>
      </c>
      <c r="D396" s="43" t="s">
        <v>277</v>
      </c>
      <c r="E396" s="21" t="s">
        <v>18</v>
      </c>
      <c r="F396" s="21">
        <v>-7</v>
      </c>
    </row>
    <row r="397" spans="2:6" hidden="1" x14ac:dyDescent="0.25">
      <c r="B397" s="21">
        <v>9203</v>
      </c>
      <c r="C397" s="43">
        <v>46135</v>
      </c>
      <c r="D397" s="43" t="s">
        <v>305</v>
      </c>
      <c r="E397" s="21" t="s">
        <v>9</v>
      </c>
      <c r="F397" s="21">
        <v>6.15</v>
      </c>
    </row>
    <row r="398" spans="2:6" hidden="1" x14ac:dyDescent="0.25">
      <c r="B398" s="21">
        <v>9203</v>
      </c>
      <c r="C398" s="43">
        <v>46135</v>
      </c>
      <c r="D398" s="43" t="s">
        <v>304</v>
      </c>
      <c r="E398" s="21" t="s">
        <v>8</v>
      </c>
      <c r="F398" s="21">
        <v>39.6</v>
      </c>
    </row>
    <row r="399" spans="2:6" hidden="1" x14ac:dyDescent="0.25">
      <c r="B399" s="21">
        <v>9495</v>
      </c>
      <c r="C399" s="43">
        <v>46135</v>
      </c>
      <c r="D399" s="43" t="s">
        <v>378</v>
      </c>
      <c r="E399" s="21" t="s">
        <v>44</v>
      </c>
      <c r="F399" s="29">
        <v>41.52</v>
      </c>
    </row>
    <row r="400" spans="2:6" hidden="1" x14ac:dyDescent="0.25">
      <c r="B400" s="21">
        <v>9203</v>
      </c>
      <c r="C400" s="43">
        <v>46136</v>
      </c>
      <c r="D400" s="43" t="s">
        <v>303</v>
      </c>
      <c r="E400" s="21" t="s">
        <v>18</v>
      </c>
      <c r="F400" s="21">
        <v>2.4</v>
      </c>
    </row>
    <row r="401" spans="2:6" hidden="1" x14ac:dyDescent="0.25">
      <c r="B401" s="21">
        <v>9203</v>
      </c>
      <c r="C401" s="43">
        <v>46136</v>
      </c>
      <c r="D401" s="43" t="s">
        <v>277</v>
      </c>
      <c r="E401" s="21" t="s">
        <v>18</v>
      </c>
      <c r="F401" s="21">
        <v>7</v>
      </c>
    </row>
    <row r="402" spans="2:6" hidden="1" x14ac:dyDescent="0.25">
      <c r="B402" s="21">
        <v>9203</v>
      </c>
      <c r="C402" s="43">
        <v>46138</v>
      </c>
      <c r="D402" s="43" t="s">
        <v>301</v>
      </c>
      <c r="E402" s="21" t="s">
        <v>9</v>
      </c>
      <c r="F402" s="21">
        <v>3.74</v>
      </c>
    </row>
    <row r="403" spans="2:6" hidden="1" x14ac:dyDescent="0.25">
      <c r="B403" s="21">
        <v>9203</v>
      </c>
      <c r="C403" s="43">
        <v>46138</v>
      </c>
      <c r="D403" s="43" t="s">
        <v>302</v>
      </c>
      <c r="E403" s="21" t="s">
        <v>9</v>
      </c>
      <c r="F403" s="21">
        <v>10.09</v>
      </c>
    </row>
    <row r="404" spans="2:6" hidden="1" x14ac:dyDescent="0.25">
      <c r="B404" s="21">
        <v>9203</v>
      </c>
      <c r="C404" s="43">
        <v>46138</v>
      </c>
      <c r="D404" s="43" t="s">
        <v>287</v>
      </c>
      <c r="E404" s="21" t="s">
        <v>13</v>
      </c>
      <c r="F404" s="29">
        <v>33</v>
      </c>
    </row>
    <row r="405" spans="2:6" hidden="1" x14ac:dyDescent="0.25">
      <c r="B405" s="21">
        <v>31005</v>
      </c>
      <c r="C405" s="43">
        <v>46138</v>
      </c>
      <c r="D405" s="43" t="s">
        <v>193</v>
      </c>
      <c r="E405" s="21" t="s">
        <v>14</v>
      </c>
      <c r="F405" s="21">
        <v>-7</v>
      </c>
    </row>
    <row r="406" spans="2:6" hidden="1" x14ac:dyDescent="0.25">
      <c r="B406" s="21">
        <v>31005</v>
      </c>
      <c r="C406" s="43">
        <v>46138</v>
      </c>
      <c r="D406" s="43" t="s">
        <v>468</v>
      </c>
      <c r="E406" s="21" t="s">
        <v>14</v>
      </c>
      <c r="F406" s="21">
        <v>10</v>
      </c>
    </row>
    <row r="407" spans="2:6" hidden="1" x14ac:dyDescent="0.25">
      <c r="B407" s="21">
        <v>31005</v>
      </c>
      <c r="C407" s="43">
        <v>46138</v>
      </c>
      <c r="D407" s="43" t="s">
        <v>205</v>
      </c>
      <c r="E407" s="21" t="s">
        <v>16</v>
      </c>
      <c r="F407" s="21">
        <v>19.93</v>
      </c>
    </row>
    <row r="408" spans="2:6" hidden="1" x14ac:dyDescent="0.25">
      <c r="B408" s="21">
        <v>9203</v>
      </c>
      <c r="C408" s="43">
        <v>46139</v>
      </c>
      <c r="D408" s="43" t="s">
        <v>299</v>
      </c>
      <c r="E408" s="21" t="s">
        <v>9</v>
      </c>
      <c r="F408" s="21">
        <v>30.47</v>
      </c>
    </row>
    <row r="409" spans="2:6" hidden="1" x14ac:dyDescent="0.25">
      <c r="B409" s="21">
        <v>9203</v>
      </c>
      <c r="C409" s="43">
        <v>46139</v>
      </c>
      <c r="D409" s="43" t="s">
        <v>289</v>
      </c>
      <c r="E409" s="21" t="s">
        <v>8</v>
      </c>
      <c r="F409" s="21">
        <v>59.38</v>
      </c>
    </row>
    <row r="410" spans="2:6" hidden="1" x14ac:dyDescent="0.25">
      <c r="B410" s="21">
        <v>9203</v>
      </c>
      <c r="C410" s="43">
        <v>46139</v>
      </c>
      <c r="D410" s="43" t="s">
        <v>300</v>
      </c>
      <c r="E410" s="21" t="s">
        <v>44</v>
      </c>
      <c r="F410" s="21">
        <v>83.51</v>
      </c>
    </row>
    <row r="411" spans="2:6" hidden="1" x14ac:dyDescent="0.25">
      <c r="B411" s="21">
        <v>9495</v>
      </c>
      <c r="C411" s="43">
        <v>46139</v>
      </c>
      <c r="D411" s="43" t="s">
        <v>91</v>
      </c>
      <c r="E411" s="21" t="s">
        <v>44</v>
      </c>
      <c r="F411" s="29">
        <v>-2</v>
      </c>
    </row>
    <row r="412" spans="2:6" hidden="1" x14ac:dyDescent="0.25">
      <c r="B412" s="21">
        <v>9495</v>
      </c>
      <c r="C412" s="43">
        <v>46139</v>
      </c>
      <c r="D412" s="43" t="s">
        <v>377</v>
      </c>
      <c r="E412" s="21" t="s">
        <v>44</v>
      </c>
      <c r="F412" s="29">
        <v>37.770000000000003</v>
      </c>
    </row>
    <row r="413" spans="2:6" hidden="1" x14ac:dyDescent="0.25">
      <c r="B413" s="21">
        <v>2445</v>
      </c>
      <c r="C413" s="43">
        <v>46139</v>
      </c>
      <c r="D413" s="43" t="s">
        <v>437</v>
      </c>
      <c r="E413" s="21" t="s">
        <v>18</v>
      </c>
      <c r="F413" s="29">
        <v>-13</v>
      </c>
    </row>
    <row r="414" spans="2:6" hidden="1" x14ac:dyDescent="0.25">
      <c r="B414" s="21">
        <v>9203</v>
      </c>
      <c r="C414" s="43">
        <v>46103</v>
      </c>
      <c r="D414" s="43" t="s">
        <v>283</v>
      </c>
      <c r="E414" s="21" t="s">
        <v>17</v>
      </c>
      <c r="F414" s="21">
        <v>52</v>
      </c>
    </row>
    <row r="415" spans="2:6" hidden="1" x14ac:dyDescent="0.25">
      <c r="B415" s="21">
        <v>9495</v>
      </c>
      <c r="C415" s="43">
        <v>46140</v>
      </c>
      <c r="D415" s="43" t="s">
        <v>70</v>
      </c>
      <c r="E415" s="21" t="s">
        <v>18</v>
      </c>
      <c r="F415" s="29">
        <v>32.25</v>
      </c>
    </row>
    <row r="416" spans="2:6" hidden="1" x14ac:dyDescent="0.25">
      <c r="B416" s="21">
        <v>9495</v>
      </c>
      <c r="C416" s="43">
        <v>46140</v>
      </c>
      <c r="D416" s="43" t="s">
        <v>421</v>
      </c>
      <c r="E416" s="21" t="s">
        <v>16</v>
      </c>
      <c r="F416" s="29">
        <v>8</v>
      </c>
    </row>
    <row r="417" spans="2:6" hidden="1" x14ac:dyDescent="0.25">
      <c r="B417" s="21">
        <v>2445</v>
      </c>
      <c r="C417" s="43">
        <v>46140</v>
      </c>
      <c r="D417" s="43" t="s">
        <v>440</v>
      </c>
      <c r="E417" s="21" t="s">
        <v>44</v>
      </c>
      <c r="F417" s="29">
        <v>-201</v>
      </c>
    </row>
    <row r="418" spans="2:6" hidden="1" x14ac:dyDescent="0.25">
      <c r="B418" s="21">
        <v>9203</v>
      </c>
      <c r="C418" s="43">
        <v>46141</v>
      </c>
      <c r="D418" s="43" t="s">
        <v>289</v>
      </c>
      <c r="E418" s="21" t="s">
        <v>8</v>
      </c>
      <c r="F418" s="21">
        <v>77.8</v>
      </c>
    </row>
    <row r="419" spans="2:6" hidden="1" x14ac:dyDescent="0.25">
      <c r="B419" s="21">
        <v>9495</v>
      </c>
      <c r="C419" s="43">
        <v>46141</v>
      </c>
      <c r="D419" s="43" t="s">
        <v>70</v>
      </c>
      <c r="E419" s="21" t="s">
        <v>18</v>
      </c>
      <c r="F419" s="29">
        <v>32.25</v>
      </c>
    </row>
    <row r="420" spans="2:6" hidden="1" x14ac:dyDescent="0.25">
      <c r="B420" s="21">
        <v>9203</v>
      </c>
      <c r="C420" s="43">
        <v>46142</v>
      </c>
      <c r="D420" s="43" t="s">
        <v>297</v>
      </c>
      <c r="E420" s="21" t="s">
        <v>75</v>
      </c>
      <c r="F420" s="21">
        <v>2.99</v>
      </c>
    </row>
    <row r="421" spans="2:6" hidden="1" x14ac:dyDescent="0.25">
      <c r="B421" s="21">
        <v>9203</v>
      </c>
      <c r="C421" s="43">
        <v>46142</v>
      </c>
      <c r="D421" s="43" t="s">
        <v>297</v>
      </c>
      <c r="E421" s="21" t="s">
        <v>75</v>
      </c>
      <c r="F421" s="21">
        <v>15.93</v>
      </c>
    </row>
    <row r="422" spans="2:6" hidden="1" x14ac:dyDescent="0.25">
      <c r="B422" s="21">
        <v>9203</v>
      </c>
      <c r="C422" s="43">
        <v>46142</v>
      </c>
      <c r="D422" s="43" t="s">
        <v>298</v>
      </c>
      <c r="E422" s="21" t="s">
        <v>13</v>
      </c>
      <c r="F422" s="29">
        <v>26.55</v>
      </c>
    </row>
    <row r="423" spans="2:6" hidden="1" x14ac:dyDescent="0.25">
      <c r="B423" s="21">
        <v>9203</v>
      </c>
      <c r="C423" s="43">
        <v>46142</v>
      </c>
      <c r="D423" s="43" t="s">
        <v>276</v>
      </c>
      <c r="E423" s="21" t="s">
        <v>6</v>
      </c>
      <c r="F423" s="21">
        <v>30.11</v>
      </c>
    </row>
    <row r="424" spans="2:6" hidden="1" x14ac:dyDescent="0.25">
      <c r="B424" s="21">
        <v>9495</v>
      </c>
      <c r="C424" s="43">
        <v>46142</v>
      </c>
      <c r="D424" s="43" t="s">
        <v>70</v>
      </c>
      <c r="E424" s="21" t="s">
        <v>18</v>
      </c>
      <c r="F424" s="29">
        <v>32.25</v>
      </c>
    </row>
    <row r="425" spans="2:6" hidden="1" x14ac:dyDescent="0.25">
      <c r="C425" s="43">
        <v>46143</v>
      </c>
      <c r="D425" s="43" t="s">
        <v>47</v>
      </c>
      <c r="E425" s="21" t="s">
        <v>14</v>
      </c>
      <c r="F425" s="29">
        <v>-7</v>
      </c>
    </row>
    <row r="426" spans="2:6" hidden="1" x14ac:dyDescent="0.25">
      <c r="C426" s="43">
        <v>46143</v>
      </c>
      <c r="D426" s="43" t="s">
        <v>46</v>
      </c>
      <c r="E426" s="21" t="s">
        <v>14</v>
      </c>
      <c r="F426" s="29">
        <v>10</v>
      </c>
    </row>
    <row r="427" spans="2:6" hidden="1" x14ac:dyDescent="0.25">
      <c r="C427" s="43">
        <v>46143</v>
      </c>
      <c r="D427" s="43" t="s">
        <v>43</v>
      </c>
      <c r="E427" s="21" t="s">
        <v>11</v>
      </c>
      <c r="F427" s="29">
        <v>25</v>
      </c>
    </row>
    <row r="428" spans="2:6" hidden="1" x14ac:dyDescent="0.25">
      <c r="C428" s="43">
        <v>46143</v>
      </c>
      <c r="D428" s="43" t="s">
        <v>45</v>
      </c>
      <c r="E428" s="21" t="s">
        <v>44</v>
      </c>
      <c r="F428" s="29">
        <v>26.56</v>
      </c>
    </row>
    <row r="429" spans="2:6" hidden="1" x14ac:dyDescent="0.25">
      <c r="B429" s="21">
        <v>9495</v>
      </c>
      <c r="C429" s="43">
        <v>46143</v>
      </c>
      <c r="D429" s="43" t="s">
        <v>70</v>
      </c>
      <c r="E429" s="21" t="s">
        <v>18</v>
      </c>
      <c r="F429" s="29">
        <v>32.25</v>
      </c>
    </row>
    <row r="430" spans="2:6" hidden="1" x14ac:dyDescent="0.25">
      <c r="C430" s="43">
        <v>46144</v>
      </c>
      <c r="D430" s="43" t="s">
        <v>48</v>
      </c>
      <c r="E430" s="21" t="s">
        <v>44</v>
      </c>
      <c r="F430" s="29">
        <v>6.03</v>
      </c>
    </row>
    <row r="431" spans="2:6" hidden="1" x14ac:dyDescent="0.25">
      <c r="C431" s="43">
        <v>46144</v>
      </c>
      <c r="D431" s="43" t="s">
        <v>49</v>
      </c>
      <c r="E431" s="21" t="s">
        <v>14</v>
      </c>
      <c r="F431" s="29">
        <v>22.36</v>
      </c>
    </row>
    <row r="432" spans="2:6" hidden="1" x14ac:dyDescent="0.25">
      <c r="C432" s="43">
        <v>46145</v>
      </c>
      <c r="D432" s="43" t="s">
        <v>57</v>
      </c>
      <c r="E432" s="21" t="s">
        <v>16</v>
      </c>
      <c r="F432" s="29">
        <v>1.94</v>
      </c>
    </row>
    <row r="433" spans="2:6" hidden="1" x14ac:dyDescent="0.25">
      <c r="C433" s="43">
        <v>46145</v>
      </c>
      <c r="D433" s="43" t="s">
        <v>57</v>
      </c>
      <c r="E433" s="21" t="s">
        <v>16</v>
      </c>
      <c r="F433" s="29">
        <v>19.93</v>
      </c>
    </row>
    <row r="434" spans="2:6" hidden="1" x14ac:dyDescent="0.25">
      <c r="C434" s="43">
        <v>46145</v>
      </c>
      <c r="D434" s="43" t="s">
        <v>56</v>
      </c>
      <c r="E434" s="21" t="s">
        <v>11</v>
      </c>
      <c r="F434" s="28">
        <v>21.91</v>
      </c>
    </row>
    <row r="435" spans="2:6" hidden="1" x14ac:dyDescent="0.25">
      <c r="C435" s="27">
        <v>46180</v>
      </c>
      <c r="D435" s="43" t="s">
        <v>115</v>
      </c>
      <c r="E435" s="21" t="s">
        <v>17</v>
      </c>
      <c r="F435" s="26">
        <v>50.09</v>
      </c>
    </row>
    <row r="436" spans="2:6" hidden="1" x14ac:dyDescent="0.25">
      <c r="B436" s="21">
        <v>9203</v>
      </c>
      <c r="C436" s="43">
        <v>46145</v>
      </c>
      <c r="D436" s="43" t="s">
        <v>296</v>
      </c>
      <c r="E436" s="21" t="s">
        <v>44</v>
      </c>
      <c r="F436" s="21">
        <v>26.56</v>
      </c>
    </row>
    <row r="437" spans="2:6" hidden="1" x14ac:dyDescent="0.25">
      <c r="C437" s="43">
        <v>46145</v>
      </c>
      <c r="D437" s="43" t="s">
        <v>55</v>
      </c>
      <c r="E437" s="21" t="s">
        <v>18</v>
      </c>
      <c r="F437" s="29">
        <v>32.25</v>
      </c>
    </row>
    <row r="438" spans="2:6" hidden="1" x14ac:dyDescent="0.25">
      <c r="C438" s="43">
        <v>46145</v>
      </c>
      <c r="D438" s="43" t="s">
        <v>52</v>
      </c>
      <c r="E438" s="21" t="s">
        <v>11</v>
      </c>
      <c r="F438" s="29">
        <v>41.48</v>
      </c>
    </row>
    <row r="439" spans="2:6" hidden="1" x14ac:dyDescent="0.25">
      <c r="C439" s="43">
        <v>46145</v>
      </c>
      <c r="D439" s="43" t="s">
        <v>54</v>
      </c>
      <c r="E439" s="21" t="s">
        <v>10</v>
      </c>
      <c r="F439" s="29">
        <v>75.47</v>
      </c>
    </row>
    <row r="440" spans="2:6" hidden="1" x14ac:dyDescent="0.25">
      <c r="C440" s="43">
        <v>46145</v>
      </c>
      <c r="D440" s="43" t="s">
        <v>53</v>
      </c>
      <c r="E440" s="21" t="s">
        <v>10</v>
      </c>
      <c r="F440" s="29">
        <v>136.46</v>
      </c>
    </row>
    <row r="441" spans="2:6" hidden="1" x14ac:dyDescent="0.25">
      <c r="C441" s="43">
        <v>46145</v>
      </c>
      <c r="D441" s="43" t="s">
        <v>50</v>
      </c>
      <c r="E441" s="21" t="s">
        <v>8</v>
      </c>
      <c r="F441" s="29">
        <v>160.41999999999999</v>
      </c>
    </row>
    <row r="442" spans="2:6" hidden="1" x14ac:dyDescent="0.25">
      <c r="B442" s="21">
        <v>9495</v>
      </c>
      <c r="C442" s="43">
        <v>46145</v>
      </c>
      <c r="D442" s="43" t="s">
        <v>216</v>
      </c>
      <c r="E442" s="21" t="s">
        <v>11</v>
      </c>
      <c r="F442" s="29">
        <v>25</v>
      </c>
    </row>
    <row r="443" spans="2:6" hidden="1" x14ac:dyDescent="0.25">
      <c r="B443" s="21">
        <v>9495</v>
      </c>
      <c r="C443" s="43">
        <v>46145</v>
      </c>
      <c r="D443" s="43" t="s">
        <v>420</v>
      </c>
      <c r="E443" s="21" t="s">
        <v>9</v>
      </c>
      <c r="F443" s="29">
        <v>22.36</v>
      </c>
    </row>
    <row r="444" spans="2:6" hidden="1" x14ac:dyDescent="0.25">
      <c r="B444" s="21">
        <v>9495</v>
      </c>
      <c r="C444" s="43">
        <v>46145</v>
      </c>
      <c r="D444" s="43" t="s">
        <v>376</v>
      </c>
      <c r="E444" s="21" t="s">
        <v>8</v>
      </c>
      <c r="F444" s="29">
        <v>160.41999999999999</v>
      </c>
    </row>
    <row r="445" spans="2:6" hidden="1" x14ac:dyDescent="0.25">
      <c r="B445" s="21">
        <v>9495</v>
      </c>
      <c r="C445" s="43">
        <v>46145</v>
      </c>
      <c r="D445" s="43" t="s">
        <v>279</v>
      </c>
      <c r="E445" s="21" t="s">
        <v>44</v>
      </c>
      <c r="F445" s="29">
        <v>6.03</v>
      </c>
    </row>
    <row r="446" spans="2:6" hidden="1" x14ac:dyDescent="0.25">
      <c r="C446" s="43">
        <v>46146</v>
      </c>
      <c r="D446" s="43" t="s">
        <v>58</v>
      </c>
      <c r="E446" s="21" t="s">
        <v>6</v>
      </c>
      <c r="F446" s="28">
        <v>1.96</v>
      </c>
    </row>
    <row r="447" spans="2:6" hidden="1" x14ac:dyDescent="0.25">
      <c r="B447" s="21">
        <v>9495</v>
      </c>
      <c r="C447" s="43">
        <v>46146</v>
      </c>
      <c r="D447" s="43" t="s">
        <v>373</v>
      </c>
      <c r="E447" s="21" t="s">
        <v>27</v>
      </c>
      <c r="F447" s="29">
        <v>25</v>
      </c>
    </row>
    <row r="448" spans="2:6" hidden="1" x14ac:dyDescent="0.25">
      <c r="B448" s="21">
        <v>9495</v>
      </c>
      <c r="C448" s="43">
        <v>46146</v>
      </c>
      <c r="D448" s="43" t="s">
        <v>374</v>
      </c>
      <c r="E448" s="21" t="s">
        <v>10</v>
      </c>
      <c r="F448" s="29">
        <v>75.47</v>
      </c>
    </row>
    <row r="449" spans="2:6" hidden="1" x14ac:dyDescent="0.25">
      <c r="B449" s="21">
        <v>9495</v>
      </c>
      <c r="C449" s="43">
        <v>46146</v>
      </c>
      <c r="D449" s="43" t="s">
        <v>52</v>
      </c>
      <c r="E449" s="21" t="s">
        <v>11</v>
      </c>
      <c r="F449" s="29">
        <v>41.18</v>
      </c>
    </row>
    <row r="450" spans="2:6" hidden="1" x14ac:dyDescent="0.25">
      <c r="B450" s="21">
        <v>9495</v>
      </c>
      <c r="C450" s="43">
        <v>46146</v>
      </c>
      <c r="D450" s="43" t="s">
        <v>375</v>
      </c>
      <c r="E450" s="21" t="s">
        <v>10</v>
      </c>
      <c r="F450" s="29">
        <v>136.46</v>
      </c>
    </row>
    <row r="451" spans="2:6" hidden="1" x14ac:dyDescent="0.25">
      <c r="B451" s="21">
        <v>5676</v>
      </c>
      <c r="C451" s="43">
        <v>46146</v>
      </c>
      <c r="D451" s="43" t="s">
        <v>400</v>
      </c>
      <c r="E451" s="21" t="s">
        <v>18</v>
      </c>
      <c r="F451" s="29">
        <v>3</v>
      </c>
    </row>
    <row r="452" spans="2:6" hidden="1" x14ac:dyDescent="0.25">
      <c r="C452" s="43">
        <v>46147</v>
      </c>
      <c r="D452" s="43" t="s">
        <v>61</v>
      </c>
      <c r="E452" s="21" t="s">
        <v>18</v>
      </c>
      <c r="F452" s="29">
        <v>-129</v>
      </c>
    </row>
    <row r="453" spans="2:6" hidden="1" x14ac:dyDescent="0.25">
      <c r="C453" s="43">
        <v>46147</v>
      </c>
      <c r="D453" s="43" t="s">
        <v>60</v>
      </c>
      <c r="E453" s="21" t="s">
        <v>44</v>
      </c>
      <c r="F453" s="29">
        <v>-36.64</v>
      </c>
    </row>
    <row r="454" spans="2:6" hidden="1" x14ac:dyDescent="0.25">
      <c r="C454" s="43">
        <v>46147</v>
      </c>
      <c r="D454" s="43" t="s">
        <v>60</v>
      </c>
      <c r="E454" s="21" t="s">
        <v>44</v>
      </c>
      <c r="F454" s="29">
        <v>-36.64</v>
      </c>
    </row>
    <row r="455" spans="2:6" hidden="1" x14ac:dyDescent="0.25">
      <c r="C455" s="43">
        <v>46147</v>
      </c>
      <c r="D455" s="43" t="s">
        <v>55</v>
      </c>
      <c r="E455" s="21" t="s">
        <v>18</v>
      </c>
      <c r="F455" s="29">
        <v>32.25</v>
      </c>
    </row>
    <row r="456" spans="2:6" hidden="1" x14ac:dyDescent="0.25">
      <c r="C456" s="43">
        <v>46147</v>
      </c>
      <c r="D456" s="43" t="s">
        <v>59</v>
      </c>
      <c r="E456" s="21" t="s">
        <v>13</v>
      </c>
      <c r="F456" s="29">
        <v>39</v>
      </c>
    </row>
    <row r="457" spans="2:6" hidden="1" x14ac:dyDescent="0.25">
      <c r="B457" s="21">
        <v>9495</v>
      </c>
      <c r="C457" s="43">
        <v>46147</v>
      </c>
      <c r="D457" s="43" t="s">
        <v>70</v>
      </c>
      <c r="E457" s="21" t="s">
        <v>18</v>
      </c>
      <c r="F457" s="29">
        <v>32.25</v>
      </c>
    </row>
    <row r="458" spans="2:6" hidden="1" x14ac:dyDescent="0.25">
      <c r="B458" s="21">
        <v>2445</v>
      </c>
      <c r="C458" s="43">
        <v>46147</v>
      </c>
      <c r="D458" s="43" t="s">
        <v>440</v>
      </c>
      <c r="E458" s="21" t="s">
        <v>44</v>
      </c>
      <c r="F458" s="29">
        <v>-36.64</v>
      </c>
    </row>
    <row r="459" spans="2:6" hidden="1" x14ac:dyDescent="0.25">
      <c r="B459" s="21">
        <v>2445</v>
      </c>
      <c r="C459" s="43">
        <v>46147</v>
      </c>
      <c r="D459" s="43" t="s">
        <v>437</v>
      </c>
      <c r="E459" s="21" t="s">
        <v>18</v>
      </c>
      <c r="F459" s="29">
        <v>-129</v>
      </c>
    </row>
    <row r="460" spans="2:6" hidden="1" x14ac:dyDescent="0.25">
      <c r="B460" s="21">
        <v>9203</v>
      </c>
      <c r="C460" s="43">
        <v>46148</v>
      </c>
      <c r="D460" s="43" t="s">
        <v>295</v>
      </c>
      <c r="E460" s="21" t="s">
        <v>6</v>
      </c>
      <c r="F460" s="21">
        <v>1.96</v>
      </c>
    </row>
    <row r="461" spans="2:6" hidden="1" x14ac:dyDescent="0.25">
      <c r="C461" s="43">
        <v>46148</v>
      </c>
      <c r="D461" s="43" t="s">
        <v>62</v>
      </c>
      <c r="E461" s="21" t="s">
        <v>11</v>
      </c>
      <c r="F461" s="29">
        <v>25</v>
      </c>
    </row>
    <row r="462" spans="2:6" hidden="1" x14ac:dyDescent="0.25">
      <c r="C462" s="43">
        <v>46148</v>
      </c>
      <c r="D462" s="43" t="s">
        <v>63</v>
      </c>
      <c r="E462" s="21" t="s">
        <v>11</v>
      </c>
      <c r="F462" s="29">
        <v>26.1</v>
      </c>
    </row>
    <row r="463" spans="2:6" hidden="1" x14ac:dyDescent="0.25">
      <c r="C463" s="43">
        <v>46148</v>
      </c>
      <c r="D463" s="43" t="s">
        <v>55</v>
      </c>
      <c r="E463" s="21" t="s">
        <v>18</v>
      </c>
      <c r="F463" s="29">
        <v>32.25</v>
      </c>
    </row>
    <row r="464" spans="2:6" hidden="1" x14ac:dyDescent="0.25">
      <c r="B464" s="21">
        <v>9203</v>
      </c>
      <c r="C464" s="43">
        <v>46148</v>
      </c>
      <c r="D464" s="43" t="s">
        <v>287</v>
      </c>
      <c r="E464" s="21" t="s">
        <v>13</v>
      </c>
      <c r="F464" s="29">
        <v>39</v>
      </c>
    </row>
    <row r="465" spans="2:6" hidden="1" x14ac:dyDescent="0.25">
      <c r="B465" s="21">
        <v>9495</v>
      </c>
      <c r="C465" s="43">
        <v>46148</v>
      </c>
      <c r="D465" s="43" t="s">
        <v>285</v>
      </c>
      <c r="E465" s="21" t="s">
        <v>11</v>
      </c>
      <c r="F465" s="29">
        <v>21.91</v>
      </c>
    </row>
    <row r="466" spans="2:6" hidden="1" x14ac:dyDescent="0.25">
      <c r="B466" s="21">
        <v>9495</v>
      </c>
      <c r="C466" s="43">
        <v>46148</v>
      </c>
      <c r="D466" s="43" t="s">
        <v>70</v>
      </c>
      <c r="E466" s="21" t="s">
        <v>18</v>
      </c>
      <c r="F466" s="29">
        <v>32.25</v>
      </c>
    </row>
    <row r="467" spans="2:6" hidden="1" x14ac:dyDescent="0.25">
      <c r="C467" s="43">
        <v>46149</v>
      </c>
      <c r="D467" s="43" t="s">
        <v>64</v>
      </c>
      <c r="E467" s="21" t="s">
        <v>13</v>
      </c>
      <c r="F467" s="29">
        <v>11.68</v>
      </c>
    </row>
    <row r="468" spans="2:6" hidden="1" x14ac:dyDescent="0.25">
      <c r="C468" s="43">
        <v>46149</v>
      </c>
      <c r="D468" s="43" t="s">
        <v>64</v>
      </c>
      <c r="E468" s="21" t="s">
        <v>13</v>
      </c>
      <c r="F468" s="29">
        <v>14.86</v>
      </c>
    </row>
    <row r="469" spans="2:6" hidden="1" x14ac:dyDescent="0.25">
      <c r="C469" s="43">
        <v>46149</v>
      </c>
      <c r="D469" s="43" t="s">
        <v>55</v>
      </c>
      <c r="E469" s="21" t="s">
        <v>18</v>
      </c>
      <c r="F469" s="29">
        <v>32.25</v>
      </c>
    </row>
    <row r="470" spans="2:6" hidden="1" x14ac:dyDescent="0.25">
      <c r="B470" s="21">
        <v>9495</v>
      </c>
      <c r="C470" s="43">
        <v>46149</v>
      </c>
      <c r="D470" s="43" t="s">
        <v>63</v>
      </c>
      <c r="E470" s="21" t="s">
        <v>11</v>
      </c>
      <c r="F470" s="29">
        <v>26.1</v>
      </c>
    </row>
    <row r="471" spans="2:6" hidden="1" x14ac:dyDescent="0.25">
      <c r="B471" s="21">
        <v>9495</v>
      </c>
      <c r="C471" s="43">
        <v>46149</v>
      </c>
      <c r="D471" s="43" t="s">
        <v>331</v>
      </c>
      <c r="E471" s="21" t="s">
        <v>11</v>
      </c>
      <c r="F471" s="29">
        <v>25</v>
      </c>
    </row>
    <row r="472" spans="2:6" hidden="1" x14ac:dyDescent="0.25">
      <c r="B472" s="21">
        <v>9495</v>
      </c>
      <c r="C472" s="43">
        <v>46149</v>
      </c>
      <c r="D472" s="43" t="s">
        <v>310</v>
      </c>
      <c r="E472" s="21" t="s">
        <v>7</v>
      </c>
      <c r="F472" s="29">
        <v>107.95</v>
      </c>
    </row>
    <row r="473" spans="2:6" hidden="1" x14ac:dyDescent="0.25">
      <c r="B473" s="21">
        <v>9495</v>
      </c>
      <c r="C473" s="43">
        <v>46149</v>
      </c>
      <c r="D473" s="43" t="s">
        <v>311</v>
      </c>
      <c r="E473" s="21" t="s">
        <v>7</v>
      </c>
      <c r="F473" s="29">
        <v>53.68</v>
      </c>
    </row>
    <row r="474" spans="2:6" hidden="1" x14ac:dyDescent="0.25">
      <c r="B474" s="21">
        <v>9495</v>
      </c>
      <c r="C474" s="43">
        <v>46149</v>
      </c>
      <c r="D474" s="43" t="s">
        <v>70</v>
      </c>
      <c r="E474" s="21" t="s">
        <v>18</v>
      </c>
      <c r="F474" s="29">
        <v>32.25</v>
      </c>
    </row>
    <row r="475" spans="2:6" hidden="1" x14ac:dyDescent="0.25">
      <c r="C475" s="43">
        <v>46150</v>
      </c>
      <c r="D475" s="43" t="s">
        <v>65</v>
      </c>
      <c r="E475" s="21" t="s">
        <v>13</v>
      </c>
      <c r="F475" s="29">
        <v>65.989999999999995</v>
      </c>
    </row>
    <row r="476" spans="2:6" hidden="1" x14ac:dyDescent="0.25">
      <c r="B476" s="21">
        <v>9495</v>
      </c>
      <c r="C476" s="43">
        <v>46150</v>
      </c>
      <c r="D476" s="43" t="s">
        <v>307</v>
      </c>
      <c r="E476" s="21" t="s">
        <v>13</v>
      </c>
      <c r="F476" s="29">
        <v>14.86</v>
      </c>
    </row>
    <row r="477" spans="2:6" hidden="1" x14ac:dyDescent="0.25">
      <c r="B477" s="21">
        <v>9495</v>
      </c>
      <c r="C477" s="43">
        <v>46150</v>
      </c>
      <c r="D477" s="43" t="s">
        <v>307</v>
      </c>
      <c r="E477" s="21" t="s">
        <v>13</v>
      </c>
      <c r="F477" s="29">
        <v>11.68</v>
      </c>
    </row>
    <row r="478" spans="2:6" hidden="1" x14ac:dyDescent="0.25">
      <c r="B478" s="21">
        <v>9495</v>
      </c>
      <c r="C478" s="43">
        <v>46150</v>
      </c>
      <c r="D478" s="43" t="s">
        <v>70</v>
      </c>
      <c r="E478" s="21" t="s">
        <v>18</v>
      </c>
      <c r="F478" s="29">
        <v>32.25</v>
      </c>
    </row>
    <row r="479" spans="2:6" hidden="1" x14ac:dyDescent="0.25">
      <c r="C479" s="43">
        <v>46151</v>
      </c>
      <c r="D479" s="43" t="s">
        <v>67</v>
      </c>
      <c r="E479" s="21" t="s">
        <v>12</v>
      </c>
      <c r="F479" s="29">
        <v>26.39</v>
      </c>
    </row>
    <row r="480" spans="2:6" hidden="1" x14ac:dyDescent="0.25">
      <c r="C480" s="43">
        <v>46151</v>
      </c>
      <c r="D480" s="43" t="s">
        <v>66</v>
      </c>
      <c r="E480" s="21" t="s">
        <v>6</v>
      </c>
      <c r="F480" s="29">
        <v>54.83</v>
      </c>
    </row>
    <row r="481" spans="2:6" hidden="1" x14ac:dyDescent="0.25">
      <c r="B481" s="21">
        <v>9495</v>
      </c>
      <c r="C481" s="43">
        <v>46152</v>
      </c>
      <c r="D481" s="43" t="s">
        <v>371</v>
      </c>
      <c r="E481" s="21" t="s">
        <v>13</v>
      </c>
      <c r="F481" s="29">
        <v>65.989999999999995</v>
      </c>
    </row>
    <row r="482" spans="2:6" hidden="1" x14ac:dyDescent="0.25">
      <c r="B482" s="21">
        <v>9495</v>
      </c>
      <c r="C482" s="43">
        <v>46152</v>
      </c>
      <c r="D482" s="43" t="s">
        <v>372</v>
      </c>
      <c r="E482" s="21" t="s">
        <v>6</v>
      </c>
      <c r="F482" s="29">
        <v>54.83</v>
      </c>
    </row>
    <row r="483" spans="2:6" hidden="1" x14ac:dyDescent="0.25">
      <c r="C483" s="43">
        <v>46153</v>
      </c>
      <c r="D483" s="43" t="s">
        <v>60</v>
      </c>
      <c r="E483" s="21" t="s">
        <v>44</v>
      </c>
      <c r="F483" s="29">
        <v>-82.83</v>
      </c>
    </row>
    <row r="484" spans="2:6" hidden="1" x14ac:dyDescent="0.25">
      <c r="C484" s="43">
        <v>46153</v>
      </c>
      <c r="D484" s="43" t="s">
        <v>69</v>
      </c>
      <c r="E484" s="21" t="s">
        <v>44</v>
      </c>
      <c r="F484" s="29">
        <v>40.94</v>
      </c>
    </row>
    <row r="485" spans="2:6" hidden="1" x14ac:dyDescent="0.25">
      <c r="C485" s="43">
        <v>46153</v>
      </c>
      <c r="D485" s="43" t="s">
        <v>68</v>
      </c>
      <c r="E485" s="21" t="s">
        <v>44</v>
      </c>
      <c r="F485" s="29">
        <v>49.43</v>
      </c>
    </row>
    <row r="486" spans="2:6" hidden="1" x14ac:dyDescent="0.25">
      <c r="C486" s="43">
        <v>46153</v>
      </c>
      <c r="D486" s="43" t="s">
        <v>68</v>
      </c>
      <c r="E486" s="21" t="s">
        <v>44</v>
      </c>
      <c r="F486" s="29">
        <v>57.52</v>
      </c>
    </row>
    <row r="487" spans="2:6" hidden="1" x14ac:dyDescent="0.25">
      <c r="B487" s="21">
        <v>9495</v>
      </c>
      <c r="C487" s="43">
        <v>46153</v>
      </c>
      <c r="D487" s="43" t="s">
        <v>370</v>
      </c>
      <c r="E487" s="21" t="s">
        <v>9</v>
      </c>
      <c r="F487" s="29">
        <v>26.39</v>
      </c>
    </row>
    <row r="488" spans="2:6" hidden="1" x14ac:dyDescent="0.25">
      <c r="C488" s="43">
        <v>46154</v>
      </c>
      <c r="D488" s="43" t="s">
        <v>68</v>
      </c>
      <c r="E488" s="21" t="s">
        <v>44</v>
      </c>
      <c r="F488" s="29">
        <v>12.74</v>
      </c>
    </row>
    <row r="489" spans="2:6" hidden="1" x14ac:dyDescent="0.25">
      <c r="C489" s="43">
        <v>46154</v>
      </c>
      <c r="D489" s="43" t="s">
        <v>68</v>
      </c>
      <c r="E489" s="21" t="s">
        <v>44</v>
      </c>
      <c r="F489" s="29">
        <v>14.12</v>
      </c>
    </row>
    <row r="490" spans="2:6" hidden="1" x14ac:dyDescent="0.25">
      <c r="C490" s="27">
        <v>46154</v>
      </c>
      <c r="D490" s="43" t="s">
        <v>68</v>
      </c>
      <c r="E490" s="21" t="s">
        <v>44</v>
      </c>
      <c r="F490" s="28">
        <v>14.6</v>
      </c>
    </row>
    <row r="491" spans="2:6" hidden="1" x14ac:dyDescent="0.25">
      <c r="C491" s="27">
        <v>46154</v>
      </c>
      <c r="D491" s="43" t="s">
        <v>70</v>
      </c>
      <c r="E491" s="21" t="s">
        <v>18</v>
      </c>
      <c r="F491" s="28">
        <v>32.25</v>
      </c>
    </row>
    <row r="492" spans="2:6" hidden="1" x14ac:dyDescent="0.25">
      <c r="B492" s="21">
        <v>9495</v>
      </c>
      <c r="C492" s="43">
        <v>46154</v>
      </c>
      <c r="D492" s="43" t="s">
        <v>419</v>
      </c>
      <c r="E492" s="21" t="s">
        <v>44</v>
      </c>
      <c r="F492" s="29">
        <v>40.94</v>
      </c>
    </row>
    <row r="493" spans="2:6" hidden="1" x14ac:dyDescent="0.25">
      <c r="B493" s="21">
        <v>2445</v>
      </c>
      <c r="C493" s="43">
        <v>46154</v>
      </c>
      <c r="D493" s="43" t="s">
        <v>440</v>
      </c>
      <c r="E493" s="21" t="s">
        <v>44</v>
      </c>
      <c r="F493" s="29">
        <v>-37.79</v>
      </c>
    </row>
    <row r="494" spans="2:6" hidden="1" x14ac:dyDescent="0.25">
      <c r="C494" s="27">
        <v>46155</v>
      </c>
      <c r="D494" s="43" t="s">
        <v>72</v>
      </c>
      <c r="E494" s="21" t="s">
        <v>9</v>
      </c>
      <c r="F494" s="28">
        <v>17.71</v>
      </c>
    </row>
    <row r="495" spans="2:6" hidden="1" x14ac:dyDescent="0.25">
      <c r="C495" s="27">
        <v>46155</v>
      </c>
      <c r="D495" s="43" t="s">
        <v>70</v>
      </c>
      <c r="E495" s="21" t="s">
        <v>18</v>
      </c>
      <c r="F495" s="28">
        <v>32.25</v>
      </c>
    </row>
    <row r="496" spans="2:6" hidden="1" x14ac:dyDescent="0.25">
      <c r="C496" s="27">
        <v>46155</v>
      </c>
      <c r="D496" s="43" t="s">
        <v>71</v>
      </c>
      <c r="E496" s="21" t="s">
        <v>12</v>
      </c>
      <c r="F496" s="28">
        <v>119</v>
      </c>
    </row>
    <row r="497" spans="2:6" hidden="1" x14ac:dyDescent="0.25">
      <c r="B497" s="21">
        <v>9495</v>
      </c>
      <c r="C497" s="43">
        <v>46155</v>
      </c>
      <c r="D497" s="43" t="s">
        <v>70</v>
      </c>
      <c r="E497" s="21" t="s">
        <v>18</v>
      </c>
      <c r="F497" s="29">
        <v>32.25</v>
      </c>
    </row>
    <row r="498" spans="2:6" hidden="1" x14ac:dyDescent="0.25">
      <c r="C498" s="27">
        <v>46156</v>
      </c>
      <c r="D498" s="43" t="s">
        <v>61</v>
      </c>
      <c r="E498" s="21" t="s">
        <v>18</v>
      </c>
      <c r="F498" s="28">
        <v>-129</v>
      </c>
    </row>
    <row r="499" spans="2:6" hidden="1" x14ac:dyDescent="0.25">
      <c r="C499" s="27">
        <v>46156</v>
      </c>
      <c r="D499" s="43" t="s">
        <v>70</v>
      </c>
      <c r="E499" s="21" t="s">
        <v>18</v>
      </c>
      <c r="F499" s="28">
        <v>32.25</v>
      </c>
    </row>
    <row r="500" spans="2:6" hidden="1" x14ac:dyDescent="0.25">
      <c r="B500" s="21">
        <v>9495</v>
      </c>
      <c r="C500" s="43">
        <v>46156</v>
      </c>
      <c r="D500" s="43" t="s">
        <v>70</v>
      </c>
      <c r="E500" s="21" t="s">
        <v>18</v>
      </c>
      <c r="F500" s="29">
        <v>32.25</v>
      </c>
    </row>
    <row r="501" spans="2:6" hidden="1" x14ac:dyDescent="0.25">
      <c r="B501" s="21">
        <v>2445</v>
      </c>
      <c r="C501" s="43">
        <v>46156</v>
      </c>
      <c r="D501" s="43" t="s">
        <v>437</v>
      </c>
      <c r="E501" s="21" t="s">
        <v>18</v>
      </c>
      <c r="F501" s="29">
        <v>-129</v>
      </c>
    </row>
    <row r="502" spans="2:6" hidden="1" x14ac:dyDescent="0.25">
      <c r="B502" s="21">
        <v>9203</v>
      </c>
      <c r="C502" s="27">
        <v>46157</v>
      </c>
      <c r="D502" s="43" t="s">
        <v>294</v>
      </c>
      <c r="E502" s="21" t="s">
        <v>11</v>
      </c>
      <c r="F502" s="21">
        <v>5</v>
      </c>
    </row>
    <row r="503" spans="2:6" hidden="1" x14ac:dyDescent="0.25">
      <c r="C503" s="27">
        <v>46157</v>
      </c>
      <c r="D503" s="43" t="s">
        <v>74</v>
      </c>
      <c r="E503" s="21" t="s">
        <v>14</v>
      </c>
      <c r="F503" s="28">
        <v>6.97</v>
      </c>
    </row>
    <row r="504" spans="2:6" hidden="1" x14ac:dyDescent="0.25">
      <c r="C504" s="27">
        <v>46157</v>
      </c>
      <c r="D504" s="43" t="s">
        <v>76</v>
      </c>
      <c r="E504" s="21" t="s">
        <v>75</v>
      </c>
      <c r="F504" s="28">
        <v>18.989999999999998</v>
      </c>
    </row>
    <row r="505" spans="2:6" hidden="1" x14ac:dyDescent="0.25">
      <c r="C505" s="27">
        <v>46157</v>
      </c>
      <c r="D505" s="43" t="s">
        <v>73</v>
      </c>
      <c r="E505" s="21" t="s">
        <v>9</v>
      </c>
      <c r="F505" s="28">
        <v>31.24</v>
      </c>
    </row>
    <row r="506" spans="2:6" hidden="1" x14ac:dyDescent="0.25">
      <c r="B506" s="21">
        <v>9495</v>
      </c>
      <c r="C506" s="43">
        <v>46182</v>
      </c>
      <c r="D506" s="43" t="s">
        <v>329</v>
      </c>
      <c r="E506" s="21" t="s">
        <v>17</v>
      </c>
      <c r="F506" s="29">
        <v>50.09</v>
      </c>
    </row>
    <row r="507" spans="2:6" hidden="1" x14ac:dyDescent="0.25">
      <c r="B507" s="21">
        <v>9495</v>
      </c>
      <c r="C507" s="43">
        <v>46157</v>
      </c>
      <c r="D507" s="43" t="s">
        <v>70</v>
      </c>
      <c r="E507" s="21" t="s">
        <v>18</v>
      </c>
      <c r="F507" s="29">
        <v>32.25</v>
      </c>
    </row>
    <row r="508" spans="2:6" hidden="1" x14ac:dyDescent="0.25">
      <c r="B508" s="21">
        <v>9495</v>
      </c>
      <c r="C508" s="43">
        <v>46157</v>
      </c>
      <c r="D508" s="43" t="s">
        <v>339</v>
      </c>
      <c r="E508" s="21" t="s">
        <v>9</v>
      </c>
      <c r="F508" s="29">
        <v>119</v>
      </c>
    </row>
    <row r="509" spans="2:6" hidden="1" x14ac:dyDescent="0.25">
      <c r="B509" s="21">
        <v>9495</v>
      </c>
      <c r="C509" s="43">
        <v>46157</v>
      </c>
      <c r="D509" s="43" t="s">
        <v>418</v>
      </c>
      <c r="E509" s="21" t="s">
        <v>9</v>
      </c>
      <c r="F509" s="29">
        <v>17.71</v>
      </c>
    </row>
    <row r="510" spans="2:6" hidden="1" x14ac:dyDescent="0.25">
      <c r="C510" s="43">
        <v>46158</v>
      </c>
      <c r="D510" s="43" t="s">
        <v>82</v>
      </c>
      <c r="E510" s="21" t="s">
        <v>16</v>
      </c>
      <c r="F510" s="29">
        <v>1.34</v>
      </c>
    </row>
    <row r="511" spans="2:6" hidden="1" x14ac:dyDescent="0.25">
      <c r="C511" s="27">
        <v>46158</v>
      </c>
      <c r="D511" s="43" t="s">
        <v>80</v>
      </c>
      <c r="E511" s="21" t="s">
        <v>11</v>
      </c>
      <c r="F511" s="28">
        <v>5.45</v>
      </c>
    </row>
    <row r="512" spans="2:6" hidden="1" x14ac:dyDescent="0.25">
      <c r="C512" s="43">
        <v>46158</v>
      </c>
      <c r="D512" s="43" t="s">
        <v>79</v>
      </c>
      <c r="E512" s="21" t="s">
        <v>9</v>
      </c>
      <c r="F512" s="29">
        <v>17.91</v>
      </c>
    </row>
    <row r="513" spans="2:6" hidden="1" x14ac:dyDescent="0.25">
      <c r="C513" s="43">
        <v>46158</v>
      </c>
      <c r="D513" s="43" t="s">
        <v>78</v>
      </c>
      <c r="E513" s="21" t="s">
        <v>12</v>
      </c>
      <c r="F513" s="29">
        <v>22.09</v>
      </c>
    </row>
    <row r="514" spans="2:6" hidden="1" x14ac:dyDescent="0.25">
      <c r="C514" s="43">
        <v>46158</v>
      </c>
      <c r="D514" s="43" t="s">
        <v>81</v>
      </c>
      <c r="E514" s="21" t="s">
        <v>11</v>
      </c>
      <c r="F514" s="29">
        <v>49</v>
      </c>
    </row>
    <row r="515" spans="2:6" hidden="1" x14ac:dyDescent="0.25">
      <c r="C515" s="43">
        <v>46158</v>
      </c>
      <c r="D515" s="43" t="s">
        <v>77</v>
      </c>
      <c r="E515" s="21" t="s">
        <v>12</v>
      </c>
      <c r="F515" s="29">
        <v>64.8</v>
      </c>
    </row>
    <row r="516" spans="2:6" hidden="1" x14ac:dyDescent="0.25">
      <c r="B516" s="21">
        <v>9203</v>
      </c>
      <c r="C516" s="43">
        <v>46159</v>
      </c>
      <c r="D516" s="43" t="s">
        <v>80</v>
      </c>
      <c r="E516" s="21" t="s">
        <v>11</v>
      </c>
      <c r="F516" s="21">
        <v>5.45</v>
      </c>
    </row>
    <row r="517" spans="2:6" hidden="1" x14ac:dyDescent="0.25">
      <c r="B517" s="21">
        <v>9203</v>
      </c>
      <c r="C517" s="43">
        <v>46159</v>
      </c>
      <c r="D517" s="43" t="s">
        <v>292</v>
      </c>
      <c r="E517" s="21" t="s">
        <v>9</v>
      </c>
      <c r="F517" s="21">
        <v>22.09</v>
      </c>
    </row>
    <row r="518" spans="2:6" hidden="1" x14ac:dyDescent="0.25">
      <c r="B518" s="21">
        <v>9203</v>
      </c>
      <c r="C518" s="43">
        <v>46159</v>
      </c>
      <c r="D518" s="43" t="s">
        <v>293</v>
      </c>
      <c r="E518" s="21" t="s">
        <v>11</v>
      </c>
      <c r="F518" s="21">
        <v>49</v>
      </c>
    </row>
    <row r="519" spans="2:6" hidden="1" x14ac:dyDescent="0.25">
      <c r="C519" s="43">
        <v>46159</v>
      </c>
      <c r="D519" s="43" t="s">
        <v>58</v>
      </c>
      <c r="E519" s="21" t="s">
        <v>6</v>
      </c>
      <c r="F519" s="29">
        <v>99.53</v>
      </c>
    </row>
    <row r="520" spans="2:6" hidden="1" x14ac:dyDescent="0.25">
      <c r="B520" s="21">
        <v>9495</v>
      </c>
      <c r="C520" s="43">
        <v>46159</v>
      </c>
      <c r="D520" s="43" t="s">
        <v>271</v>
      </c>
      <c r="E520" s="21" t="s">
        <v>27</v>
      </c>
      <c r="F520" s="29">
        <v>-26.54</v>
      </c>
    </row>
    <row r="521" spans="2:6" hidden="1" x14ac:dyDescent="0.25">
      <c r="B521" s="21">
        <v>9495</v>
      </c>
      <c r="C521" s="43">
        <v>46159</v>
      </c>
      <c r="D521" s="43" t="s">
        <v>271</v>
      </c>
      <c r="E521" s="21" t="s">
        <v>27</v>
      </c>
      <c r="F521" s="29">
        <v>-65.989999999999995</v>
      </c>
    </row>
    <row r="522" spans="2:6" hidden="1" x14ac:dyDescent="0.25">
      <c r="B522" s="21">
        <v>9495</v>
      </c>
      <c r="C522" s="43">
        <v>46159</v>
      </c>
      <c r="D522" s="43" t="s">
        <v>361</v>
      </c>
      <c r="E522" s="21" t="s">
        <v>75</v>
      </c>
      <c r="F522" s="29">
        <v>18.989999999999998</v>
      </c>
    </row>
    <row r="523" spans="2:6" hidden="1" x14ac:dyDescent="0.25">
      <c r="B523" s="21">
        <v>9495</v>
      </c>
      <c r="C523" s="43">
        <v>46209</v>
      </c>
      <c r="D523" s="43" t="s">
        <v>241</v>
      </c>
      <c r="E523" s="21" t="s">
        <v>432</v>
      </c>
      <c r="F523" s="29">
        <v>-10</v>
      </c>
    </row>
    <row r="524" spans="2:6" hidden="1" x14ac:dyDescent="0.25">
      <c r="B524" s="21">
        <v>9495</v>
      </c>
      <c r="C524" s="43">
        <v>46159</v>
      </c>
      <c r="D524" s="43" t="s">
        <v>369</v>
      </c>
      <c r="E524" s="21" t="s">
        <v>9</v>
      </c>
      <c r="F524" s="29">
        <v>31.24</v>
      </c>
    </row>
    <row r="525" spans="2:6" hidden="1" x14ac:dyDescent="0.25">
      <c r="C525" s="27">
        <v>46190</v>
      </c>
      <c r="D525" s="43" t="s">
        <v>93</v>
      </c>
      <c r="E525" s="21" t="s">
        <v>17</v>
      </c>
      <c r="F525" s="26">
        <v>50</v>
      </c>
    </row>
    <row r="526" spans="2:6" hidden="1" x14ac:dyDescent="0.25">
      <c r="C526" s="43">
        <v>46160</v>
      </c>
      <c r="D526" s="43" t="s">
        <v>60</v>
      </c>
      <c r="E526" s="21" t="s">
        <v>44</v>
      </c>
      <c r="F526" s="29">
        <v>-366.38</v>
      </c>
    </row>
    <row r="527" spans="2:6" hidden="1" x14ac:dyDescent="0.25">
      <c r="C527" s="43">
        <v>46160</v>
      </c>
      <c r="D527" s="43" t="s">
        <v>83</v>
      </c>
      <c r="E527" s="21" t="s">
        <v>8</v>
      </c>
      <c r="F527" s="29">
        <v>-16.98</v>
      </c>
    </row>
    <row r="528" spans="2:6" hidden="1" x14ac:dyDescent="0.25">
      <c r="C528" s="43">
        <v>46160</v>
      </c>
      <c r="D528" s="43" t="s">
        <v>83</v>
      </c>
      <c r="E528" s="21" t="s">
        <v>8</v>
      </c>
      <c r="F528" s="29">
        <v>-10.6</v>
      </c>
    </row>
    <row r="529" spans="2:6" hidden="1" x14ac:dyDescent="0.25">
      <c r="B529" s="21">
        <v>9203</v>
      </c>
      <c r="C529" s="43">
        <v>46160</v>
      </c>
      <c r="D529" s="43" t="s">
        <v>291</v>
      </c>
      <c r="E529" s="21" t="s">
        <v>9</v>
      </c>
      <c r="F529" s="21">
        <v>17.91</v>
      </c>
    </row>
    <row r="530" spans="2:6" hidden="1" x14ac:dyDescent="0.25">
      <c r="C530" s="43">
        <v>46160</v>
      </c>
      <c r="D530" s="43" t="s">
        <v>69</v>
      </c>
      <c r="E530" s="21" t="s">
        <v>44</v>
      </c>
      <c r="F530" s="29">
        <v>32.799999999999997</v>
      </c>
    </row>
    <row r="531" spans="2:6" hidden="1" x14ac:dyDescent="0.25">
      <c r="B531" s="21">
        <v>9203</v>
      </c>
      <c r="C531" s="43">
        <v>46160</v>
      </c>
      <c r="D531" s="43" t="s">
        <v>288</v>
      </c>
      <c r="E531" s="21" t="s">
        <v>9</v>
      </c>
      <c r="F531" s="21">
        <v>76.8</v>
      </c>
    </row>
    <row r="532" spans="2:6" hidden="1" x14ac:dyDescent="0.25">
      <c r="B532" s="21">
        <v>9495</v>
      </c>
      <c r="C532" s="43">
        <v>46160</v>
      </c>
      <c r="D532" s="43" t="s">
        <v>417</v>
      </c>
      <c r="E532" s="21" t="s">
        <v>16</v>
      </c>
      <c r="F532" s="29">
        <v>1.34</v>
      </c>
    </row>
    <row r="533" spans="2:6" hidden="1" x14ac:dyDescent="0.25">
      <c r="B533" s="21">
        <v>2445</v>
      </c>
      <c r="C533" s="43">
        <v>46160</v>
      </c>
      <c r="D533" s="43" t="s">
        <v>441</v>
      </c>
      <c r="E533" s="21" t="s">
        <v>196</v>
      </c>
      <c r="F533" s="29">
        <v>10</v>
      </c>
    </row>
    <row r="534" spans="2:6" hidden="1" x14ac:dyDescent="0.25">
      <c r="C534" s="43">
        <v>46161</v>
      </c>
      <c r="D534" s="43" t="s">
        <v>77</v>
      </c>
      <c r="E534" s="21" t="s">
        <v>9</v>
      </c>
      <c r="F534" s="29">
        <v>-9</v>
      </c>
    </row>
    <row r="535" spans="2:6" hidden="1" x14ac:dyDescent="0.25">
      <c r="C535" s="27">
        <v>46161</v>
      </c>
      <c r="D535" s="43" t="s">
        <v>85</v>
      </c>
      <c r="E535" s="21" t="s">
        <v>18</v>
      </c>
      <c r="F535" s="28">
        <v>8</v>
      </c>
    </row>
    <row r="536" spans="2:6" hidden="1" x14ac:dyDescent="0.25">
      <c r="B536" s="21">
        <v>9203</v>
      </c>
      <c r="C536" s="43">
        <v>46161</v>
      </c>
      <c r="D536" s="43" t="s">
        <v>289</v>
      </c>
      <c r="E536" s="21" t="s">
        <v>8</v>
      </c>
      <c r="F536" s="21">
        <v>10.6</v>
      </c>
    </row>
    <row r="537" spans="2:6" hidden="1" x14ac:dyDescent="0.25">
      <c r="B537" s="21">
        <v>9203</v>
      </c>
      <c r="C537" s="43">
        <v>46161</v>
      </c>
      <c r="D537" s="43" t="s">
        <v>289</v>
      </c>
      <c r="E537" s="21" t="s">
        <v>8</v>
      </c>
      <c r="F537" s="21">
        <v>16.98</v>
      </c>
    </row>
    <row r="538" spans="2:6" hidden="1" x14ac:dyDescent="0.25">
      <c r="C538" s="43">
        <v>46161</v>
      </c>
      <c r="D538" s="43" t="s">
        <v>84</v>
      </c>
      <c r="E538" s="21" t="s">
        <v>13</v>
      </c>
      <c r="F538" s="29">
        <v>39</v>
      </c>
    </row>
    <row r="539" spans="2:6" hidden="1" x14ac:dyDescent="0.25">
      <c r="B539" s="21">
        <v>9203</v>
      </c>
      <c r="C539" s="43">
        <v>46161</v>
      </c>
      <c r="D539" s="43" t="s">
        <v>290</v>
      </c>
      <c r="E539" s="21" t="s">
        <v>6</v>
      </c>
      <c r="F539" s="21">
        <v>99.53</v>
      </c>
    </row>
    <row r="540" spans="2:6" hidden="1" x14ac:dyDescent="0.25">
      <c r="B540" s="21">
        <v>9495</v>
      </c>
      <c r="C540" s="43">
        <v>46161</v>
      </c>
      <c r="D540" s="43" t="s">
        <v>416</v>
      </c>
      <c r="E540" s="21" t="s">
        <v>44</v>
      </c>
      <c r="F540" s="29">
        <v>32.799999999999997</v>
      </c>
    </row>
    <row r="541" spans="2:6" hidden="1" x14ac:dyDescent="0.25">
      <c r="B541" s="21">
        <v>2445</v>
      </c>
      <c r="C541" s="43">
        <v>46161</v>
      </c>
      <c r="D541" s="43" t="s">
        <v>440</v>
      </c>
      <c r="E541" s="21" t="s">
        <v>44</v>
      </c>
      <c r="F541" s="29">
        <v>-366.38</v>
      </c>
    </row>
    <row r="542" spans="2:6" hidden="1" x14ac:dyDescent="0.25">
      <c r="C542" s="43">
        <v>46162</v>
      </c>
      <c r="D542" s="43" t="s">
        <v>88</v>
      </c>
      <c r="E542" s="21" t="s">
        <v>44</v>
      </c>
      <c r="F542" s="29">
        <v>-105.79</v>
      </c>
    </row>
    <row r="543" spans="2:6" hidden="1" x14ac:dyDescent="0.25">
      <c r="C543" s="43">
        <v>46162</v>
      </c>
      <c r="D543" s="43" t="s">
        <v>61</v>
      </c>
      <c r="E543" s="21" t="s">
        <v>18</v>
      </c>
      <c r="F543" s="29">
        <v>-96.75</v>
      </c>
    </row>
    <row r="544" spans="2:6" hidden="1" x14ac:dyDescent="0.25">
      <c r="C544" s="43">
        <v>46162</v>
      </c>
      <c r="D544" s="43" t="s">
        <v>89</v>
      </c>
      <c r="E544" s="21" t="s">
        <v>12</v>
      </c>
      <c r="F544" s="29">
        <v>-16.2</v>
      </c>
    </row>
    <row r="545" spans="1:6" hidden="1" x14ac:dyDescent="0.25">
      <c r="C545" s="43">
        <v>46162</v>
      </c>
      <c r="D545" s="43" t="s">
        <v>87</v>
      </c>
      <c r="E545" s="21" t="s">
        <v>11</v>
      </c>
      <c r="F545" s="29">
        <v>-12.99</v>
      </c>
    </row>
    <row r="546" spans="1:6" hidden="1" x14ac:dyDescent="0.25">
      <c r="B546" s="21">
        <v>9203</v>
      </c>
      <c r="C546" s="27">
        <v>46162</v>
      </c>
      <c r="D546" s="43" t="s">
        <v>277</v>
      </c>
      <c r="E546" s="21" t="s">
        <v>18</v>
      </c>
      <c r="F546" s="21">
        <v>8</v>
      </c>
    </row>
    <row r="547" spans="1:6" hidden="1" x14ac:dyDescent="0.25">
      <c r="B547" s="21">
        <v>9203</v>
      </c>
      <c r="C547" s="27">
        <v>46162</v>
      </c>
      <c r="D547" s="43" t="s">
        <v>288</v>
      </c>
      <c r="E547" s="21" t="s">
        <v>9</v>
      </c>
      <c r="F547" s="21">
        <v>9</v>
      </c>
    </row>
    <row r="548" spans="1:6" hidden="1" x14ac:dyDescent="0.25">
      <c r="C548" s="43">
        <v>46162</v>
      </c>
      <c r="D548" s="43" t="s">
        <v>68</v>
      </c>
      <c r="E548" s="21" t="s">
        <v>44</v>
      </c>
      <c r="F548" s="29">
        <v>11.75</v>
      </c>
    </row>
    <row r="549" spans="1:6" hidden="1" x14ac:dyDescent="0.25">
      <c r="C549" s="43">
        <v>46162</v>
      </c>
      <c r="D549" s="43" t="s">
        <v>48</v>
      </c>
      <c r="E549" s="21" t="s">
        <v>44</v>
      </c>
      <c r="F549" s="29">
        <v>12.21</v>
      </c>
    </row>
    <row r="550" spans="1:6" hidden="1" x14ac:dyDescent="0.25">
      <c r="C550" s="43">
        <v>46162</v>
      </c>
      <c r="D550" s="43" t="s">
        <v>90</v>
      </c>
      <c r="E550" s="21" t="s">
        <v>75</v>
      </c>
      <c r="F550" s="29">
        <v>21.25</v>
      </c>
    </row>
    <row r="551" spans="1:6" hidden="1" x14ac:dyDescent="0.25">
      <c r="C551" s="43">
        <v>46162</v>
      </c>
      <c r="D551" s="43" t="s">
        <v>56</v>
      </c>
      <c r="E551" s="21" t="s">
        <v>11</v>
      </c>
      <c r="F551" s="29">
        <v>23.03</v>
      </c>
    </row>
    <row r="552" spans="1:6" hidden="1" x14ac:dyDescent="0.25">
      <c r="A552" s="56"/>
      <c r="C552" s="43">
        <v>46162</v>
      </c>
      <c r="D552" s="43" t="s">
        <v>70</v>
      </c>
      <c r="E552" s="56" t="s">
        <v>18</v>
      </c>
      <c r="F552" s="29">
        <v>32.25</v>
      </c>
    </row>
    <row r="553" spans="1:6" hidden="1" x14ac:dyDescent="0.25">
      <c r="B553" s="21">
        <v>9203</v>
      </c>
      <c r="C553" s="43">
        <v>46162</v>
      </c>
      <c r="D553" s="43" t="s">
        <v>287</v>
      </c>
      <c r="E553" s="21" t="s">
        <v>13</v>
      </c>
      <c r="F553" s="29">
        <v>39</v>
      </c>
    </row>
    <row r="554" spans="1:6" hidden="1" x14ac:dyDescent="0.25">
      <c r="C554" s="43">
        <v>46162</v>
      </c>
      <c r="D554" s="43" t="s">
        <v>86</v>
      </c>
      <c r="E554" s="21" t="s">
        <v>44</v>
      </c>
      <c r="F554" s="29">
        <v>43.48</v>
      </c>
    </row>
    <row r="555" spans="1:6" hidden="1" x14ac:dyDescent="0.25">
      <c r="C555" s="43">
        <v>46162</v>
      </c>
      <c r="D555" s="43" t="s">
        <v>86</v>
      </c>
      <c r="E555" s="21" t="s">
        <v>44</v>
      </c>
      <c r="F555" s="29">
        <v>43.48</v>
      </c>
    </row>
    <row r="556" spans="1:6" hidden="1" x14ac:dyDescent="0.25">
      <c r="B556" s="21">
        <v>2445</v>
      </c>
      <c r="C556" s="43">
        <v>46162</v>
      </c>
      <c r="D556" s="43" t="s">
        <v>437</v>
      </c>
      <c r="E556" s="21" t="s">
        <v>18</v>
      </c>
      <c r="F556" s="29">
        <v>-96.75</v>
      </c>
    </row>
    <row r="557" spans="1:6" hidden="1" x14ac:dyDescent="0.25">
      <c r="A557" s="56"/>
      <c r="C557" s="43">
        <v>46163</v>
      </c>
      <c r="D557" s="43" t="s">
        <v>91</v>
      </c>
      <c r="E557" s="56" t="s">
        <v>44</v>
      </c>
      <c r="F557" s="29">
        <v>-2</v>
      </c>
    </row>
    <row r="558" spans="1:6" hidden="1" x14ac:dyDescent="0.25">
      <c r="B558" s="21">
        <v>9203</v>
      </c>
      <c r="C558" s="43">
        <v>46163</v>
      </c>
      <c r="D558" s="43" t="s">
        <v>279</v>
      </c>
      <c r="E558" s="21" t="s">
        <v>44</v>
      </c>
      <c r="F558" s="21">
        <v>12.21</v>
      </c>
    </row>
    <row r="559" spans="1:6" hidden="1" x14ac:dyDescent="0.25">
      <c r="C559" s="43">
        <v>46163</v>
      </c>
      <c r="D559" s="43" t="s">
        <v>68</v>
      </c>
      <c r="E559" s="21" t="s">
        <v>44</v>
      </c>
      <c r="F559" s="29">
        <v>13.8</v>
      </c>
    </row>
    <row r="560" spans="1:6" hidden="1" x14ac:dyDescent="0.25">
      <c r="B560" s="21">
        <v>9203</v>
      </c>
      <c r="C560" s="43">
        <v>46163</v>
      </c>
      <c r="D560" s="43" t="s">
        <v>286</v>
      </c>
      <c r="E560" s="21" t="s">
        <v>10</v>
      </c>
      <c r="F560" s="21">
        <v>21.25</v>
      </c>
    </row>
    <row r="561" spans="1:6" hidden="1" x14ac:dyDescent="0.25">
      <c r="A561" s="56"/>
      <c r="C561" s="43">
        <v>46163</v>
      </c>
      <c r="D561" s="43" t="s">
        <v>70</v>
      </c>
      <c r="E561" s="56" t="s">
        <v>18</v>
      </c>
      <c r="F561" s="29">
        <v>32.25</v>
      </c>
    </row>
    <row r="562" spans="1:6" hidden="1" x14ac:dyDescent="0.25">
      <c r="B562" s="21">
        <v>9203</v>
      </c>
      <c r="C562" s="27">
        <v>46163</v>
      </c>
      <c r="D562" s="43" t="s">
        <v>86</v>
      </c>
      <c r="E562" s="21" t="s">
        <v>44</v>
      </c>
      <c r="F562" s="21">
        <v>43.48</v>
      </c>
    </row>
    <row r="563" spans="1:6" hidden="1" x14ac:dyDescent="0.25">
      <c r="B563" s="21">
        <v>31005</v>
      </c>
      <c r="C563" s="43">
        <v>46163</v>
      </c>
      <c r="D563" s="43" t="s">
        <v>92</v>
      </c>
      <c r="E563" s="21" t="s">
        <v>75</v>
      </c>
      <c r="F563" s="29">
        <v>82.99</v>
      </c>
    </row>
    <row r="564" spans="1:6" hidden="1" x14ac:dyDescent="0.25">
      <c r="B564" s="21">
        <v>9495</v>
      </c>
      <c r="C564" s="43">
        <v>46163</v>
      </c>
      <c r="D564" s="43" t="s">
        <v>70</v>
      </c>
      <c r="E564" s="21" t="s">
        <v>18</v>
      </c>
      <c r="F564" s="29">
        <v>32.25</v>
      </c>
    </row>
    <row r="565" spans="1:6" hidden="1" x14ac:dyDescent="0.25">
      <c r="B565" s="21">
        <v>2445</v>
      </c>
      <c r="C565" s="43">
        <v>46163</v>
      </c>
      <c r="D565" s="43" t="s">
        <v>436</v>
      </c>
      <c r="E565" s="21" t="s">
        <v>196</v>
      </c>
      <c r="F565" s="29">
        <v>-16.2</v>
      </c>
    </row>
    <row r="566" spans="1:6" hidden="1" x14ac:dyDescent="0.25">
      <c r="B566" s="21">
        <v>2445</v>
      </c>
      <c r="C566" s="43">
        <v>46163</v>
      </c>
      <c r="D566" s="43" t="s">
        <v>436</v>
      </c>
      <c r="E566" s="21" t="s">
        <v>196</v>
      </c>
      <c r="F566" s="29">
        <v>-105.79</v>
      </c>
    </row>
    <row r="567" spans="1:6" hidden="1" x14ac:dyDescent="0.25">
      <c r="B567" s="21">
        <v>9203</v>
      </c>
      <c r="C567" s="43">
        <v>46164</v>
      </c>
      <c r="D567" s="43" t="s">
        <v>285</v>
      </c>
      <c r="E567" s="21" t="s">
        <v>11</v>
      </c>
      <c r="F567" s="21">
        <v>23.03</v>
      </c>
    </row>
    <row r="568" spans="1:6" hidden="1" x14ac:dyDescent="0.25">
      <c r="A568" s="56"/>
      <c r="C568" s="27">
        <v>46164</v>
      </c>
      <c r="D568" s="43" t="s">
        <v>70</v>
      </c>
      <c r="E568" s="56" t="s">
        <v>18</v>
      </c>
      <c r="F568" s="28">
        <v>32.25</v>
      </c>
    </row>
    <row r="569" spans="1:6" hidden="1" x14ac:dyDescent="0.25">
      <c r="B569" s="21">
        <v>9495</v>
      </c>
      <c r="C569" s="43">
        <v>46192</v>
      </c>
      <c r="D569" s="43" t="s">
        <v>283</v>
      </c>
      <c r="E569" s="21" t="s">
        <v>17</v>
      </c>
      <c r="F569" s="29">
        <v>50</v>
      </c>
    </row>
    <row r="570" spans="1:6" hidden="1" x14ac:dyDescent="0.25">
      <c r="B570" s="21">
        <v>9495</v>
      </c>
      <c r="C570" s="43">
        <v>46164</v>
      </c>
      <c r="D570" s="43" t="s">
        <v>91</v>
      </c>
      <c r="E570" s="21" t="s">
        <v>44</v>
      </c>
      <c r="F570" s="29">
        <v>-2</v>
      </c>
    </row>
    <row r="571" spans="1:6" hidden="1" x14ac:dyDescent="0.25">
      <c r="B571" s="21">
        <v>9495</v>
      </c>
      <c r="C571" s="43">
        <v>46164</v>
      </c>
      <c r="D571" s="43" t="s">
        <v>70</v>
      </c>
      <c r="E571" s="21" t="s">
        <v>18</v>
      </c>
      <c r="F571" s="29">
        <v>32.25</v>
      </c>
    </row>
    <row r="572" spans="1:6" hidden="1" x14ac:dyDescent="0.25">
      <c r="C572" s="43">
        <v>46165</v>
      </c>
      <c r="D572" s="43" t="s">
        <v>96</v>
      </c>
      <c r="E572" s="21" t="s">
        <v>11</v>
      </c>
      <c r="F572" s="29">
        <v>14.62</v>
      </c>
    </row>
    <row r="573" spans="1:6" hidden="1" x14ac:dyDescent="0.25">
      <c r="C573" s="43">
        <v>46165</v>
      </c>
      <c r="D573" s="43" t="s">
        <v>95</v>
      </c>
      <c r="E573" s="21" t="s">
        <v>10</v>
      </c>
      <c r="F573" s="29">
        <v>48.85</v>
      </c>
    </row>
    <row r="574" spans="1:6" hidden="1" x14ac:dyDescent="0.25">
      <c r="C574" s="43">
        <v>46165</v>
      </c>
      <c r="D574" s="43" t="s">
        <v>94</v>
      </c>
      <c r="E574" s="21" t="s">
        <v>8</v>
      </c>
      <c r="F574" s="29">
        <v>58.41</v>
      </c>
    </row>
    <row r="575" spans="1:6" hidden="1" x14ac:dyDescent="0.25">
      <c r="C575" s="43">
        <v>46166</v>
      </c>
      <c r="D575" s="43" t="s">
        <v>33</v>
      </c>
      <c r="E575" s="21" t="s">
        <v>44</v>
      </c>
      <c r="F575" s="29">
        <v>14.88</v>
      </c>
    </row>
    <row r="576" spans="1:6" hidden="1" x14ac:dyDescent="0.25">
      <c r="B576" s="21">
        <v>9203</v>
      </c>
      <c r="C576" s="43">
        <v>46166</v>
      </c>
      <c r="D576" s="43" t="s">
        <v>284</v>
      </c>
      <c r="E576" s="21" t="s">
        <v>10</v>
      </c>
      <c r="F576" s="21">
        <v>48.85</v>
      </c>
    </row>
    <row r="577" spans="2:6" hidden="1" x14ac:dyDescent="0.25">
      <c r="B577" s="21">
        <v>9203</v>
      </c>
      <c r="C577" s="22">
        <v>46201</v>
      </c>
      <c r="D577" s="21" t="s">
        <v>223</v>
      </c>
      <c r="E577" s="21" t="s">
        <v>17</v>
      </c>
      <c r="F577" s="29">
        <v>46.57</v>
      </c>
    </row>
    <row r="578" spans="2:6" hidden="1" x14ac:dyDescent="0.25">
      <c r="C578" s="43">
        <v>46166</v>
      </c>
      <c r="D578" s="43" t="s">
        <v>98</v>
      </c>
      <c r="E578" s="21" t="s">
        <v>6</v>
      </c>
      <c r="F578" s="29">
        <v>84.95</v>
      </c>
    </row>
    <row r="579" spans="2:6" hidden="1" x14ac:dyDescent="0.25">
      <c r="C579" s="43">
        <v>46166</v>
      </c>
      <c r="D579" s="43" t="s">
        <v>97</v>
      </c>
      <c r="E579" s="21" t="s">
        <v>9</v>
      </c>
      <c r="F579" s="29">
        <v>274.91000000000003</v>
      </c>
    </row>
    <row r="580" spans="2:6" hidden="1" x14ac:dyDescent="0.25">
      <c r="B580" s="21">
        <v>9495</v>
      </c>
      <c r="C580" s="43">
        <v>46166</v>
      </c>
      <c r="D580" s="43" t="s">
        <v>70</v>
      </c>
      <c r="E580" s="21" t="s">
        <v>18</v>
      </c>
      <c r="F580" s="29">
        <v>32.25</v>
      </c>
    </row>
    <row r="581" spans="2:6" hidden="1" x14ac:dyDescent="0.25">
      <c r="C581" s="43">
        <v>46167</v>
      </c>
      <c r="D581" s="43" t="s">
        <v>99</v>
      </c>
      <c r="E581" s="21" t="s">
        <v>44</v>
      </c>
      <c r="F581" s="29">
        <v>4.24</v>
      </c>
    </row>
    <row r="582" spans="2:6" hidden="1" x14ac:dyDescent="0.25">
      <c r="C582" s="43">
        <v>46167</v>
      </c>
      <c r="D582" s="43" t="s">
        <v>69</v>
      </c>
      <c r="E582" s="21" t="s">
        <v>44</v>
      </c>
      <c r="F582" s="29">
        <v>42.91</v>
      </c>
    </row>
    <row r="583" spans="2:6" hidden="1" x14ac:dyDescent="0.25">
      <c r="B583" s="21">
        <v>9203</v>
      </c>
      <c r="C583" s="43">
        <v>46167</v>
      </c>
      <c r="D583" s="43" t="s">
        <v>281</v>
      </c>
      <c r="E583" s="21" t="s">
        <v>8</v>
      </c>
      <c r="F583" s="21">
        <v>58.41</v>
      </c>
    </row>
    <row r="584" spans="2:6" hidden="1" x14ac:dyDescent="0.25">
      <c r="B584" s="21">
        <v>9203</v>
      </c>
      <c r="C584" s="43">
        <v>46167</v>
      </c>
      <c r="D584" s="43" t="s">
        <v>276</v>
      </c>
      <c r="E584" s="21" t="s">
        <v>6</v>
      </c>
      <c r="F584" s="21">
        <v>84.95</v>
      </c>
    </row>
    <row r="585" spans="2:6" hidden="1" x14ac:dyDescent="0.25">
      <c r="B585" s="21">
        <v>9203</v>
      </c>
      <c r="C585" s="43">
        <v>46167</v>
      </c>
      <c r="D585" s="43" t="s">
        <v>282</v>
      </c>
      <c r="E585" s="21" t="s">
        <v>9</v>
      </c>
      <c r="F585" s="21">
        <v>274.91000000000003</v>
      </c>
    </row>
    <row r="586" spans="2:6" hidden="1" x14ac:dyDescent="0.25">
      <c r="B586" s="21">
        <v>9495</v>
      </c>
      <c r="C586" s="43">
        <v>46167</v>
      </c>
      <c r="D586" s="43" t="s">
        <v>367</v>
      </c>
      <c r="E586" s="21" t="s">
        <v>44</v>
      </c>
      <c r="F586" s="29">
        <v>4.24</v>
      </c>
    </row>
    <row r="587" spans="2:6" hidden="1" x14ac:dyDescent="0.25">
      <c r="C587" s="43">
        <v>46168</v>
      </c>
      <c r="D587" s="43" t="s">
        <v>60</v>
      </c>
      <c r="E587" s="21" t="s">
        <v>44</v>
      </c>
      <c r="F587" s="29">
        <v>-140.19</v>
      </c>
    </row>
    <row r="588" spans="2:6" hidden="1" x14ac:dyDescent="0.25">
      <c r="C588" s="43">
        <v>46168</v>
      </c>
      <c r="D588" s="43" t="s">
        <v>48</v>
      </c>
      <c r="E588" s="21" t="s">
        <v>44</v>
      </c>
      <c r="F588" s="29">
        <v>6.44</v>
      </c>
    </row>
    <row r="589" spans="2:6" hidden="1" x14ac:dyDescent="0.25">
      <c r="C589" s="43">
        <v>46168</v>
      </c>
      <c r="D589" s="43" t="s">
        <v>100</v>
      </c>
      <c r="E589" s="21" t="s">
        <v>11</v>
      </c>
      <c r="F589" s="29">
        <v>26.1</v>
      </c>
    </row>
    <row r="590" spans="2:6" hidden="1" x14ac:dyDescent="0.25">
      <c r="B590" s="21">
        <v>9203</v>
      </c>
      <c r="C590" s="43">
        <v>46168</v>
      </c>
      <c r="D590" s="43" t="s">
        <v>280</v>
      </c>
      <c r="E590" s="21" t="s">
        <v>44</v>
      </c>
      <c r="F590" s="21">
        <v>42.91</v>
      </c>
    </row>
    <row r="591" spans="2:6" hidden="1" x14ac:dyDescent="0.25">
      <c r="B591" s="21">
        <v>31003</v>
      </c>
      <c r="C591" s="43">
        <v>46168</v>
      </c>
      <c r="D591" s="43" t="s">
        <v>101</v>
      </c>
      <c r="E591" s="21" t="s">
        <v>432</v>
      </c>
      <c r="F591" s="29">
        <v>325</v>
      </c>
    </row>
    <row r="592" spans="2:6" hidden="1" x14ac:dyDescent="0.25">
      <c r="B592" s="21">
        <v>9203</v>
      </c>
      <c r="C592" s="43">
        <v>46169</v>
      </c>
      <c r="D592" s="43" t="s">
        <v>279</v>
      </c>
      <c r="E592" s="21" t="s">
        <v>44</v>
      </c>
      <c r="F592" s="21">
        <v>6.44</v>
      </c>
    </row>
    <row r="593" spans="1:6" hidden="1" x14ac:dyDescent="0.25">
      <c r="C593" s="43">
        <v>46169</v>
      </c>
      <c r="D593" s="43" t="s">
        <v>33</v>
      </c>
      <c r="E593" s="21" t="s">
        <v>44</v>
      </c>
      <c r="F593" s="29">
        <v>14.12</v>
      </c>
    </row>
    <row r="594" spans="1:6" hidden="1" x14ac:dyDescent="0.25">
      <c r="C594" s="43">
        <v>46169</v>
      </c>
      <c r="D594" s="43" t="s">
        <v>102</v>
      </c>
      <c r="E594" s="21" t="s">
        <v>27</v>
      </c>
      <c r="F594" s="29">
        <v>127.06</v>
      </c>
    </row>
    <row r="595" spans="1:6" hidden="1" x14ac:dyDescent="0.25">
      <c r="B595" s="21">
        <v>9495</v>
      </c>
      <c r="C595" s="43">
        <v>46169</v>
      </c>
      <c r="D595" s="43" t="s">
        <v>63</v>
      </c>
      <c r="E595" s="21" t="s">
        <v>11</v>
      </c>
      <c r="F595" s="29">
        <v>26.1</v>
      </c>
    </row>
    <row r="596" spans="1:6" hidden="1" x14ac:dyDescent="0.25">
      <c r="B596" s="21">
        <v>2445</v>
      </c>
      <c r="C596" s="43">
        <v>46169</v>
      </c>
      <c r="D596" s="43" t="s">
        <v>439</v>
      </c>
      <c r="E596" s="21" t="s">
        <v>6</v>
      </c>
      <c r="F596" s="29">
        <v>127.06</v>
      </c>
    </row>
    <row r="597" spans="1:6" hidden="1" x14ac:dyDescent="0.25">
      <c r="B597" s="21">
        <v>2445</v>
      </c>
      <c r="C597" s="43">
        <v>46169</v>
      </c>
      <c r="D597" s="43" t="s">
        <v>436</v>
      </c>
      <c r="E597" s="21" t="s">
        <v>196</v>
      </c>
      <c r="F597" s="29">
        <v>-40</v>
      </c>
    </row>
    <row r="598" spans="1:6" hidden="1" x14ac:dyDescent="0.25">
      <c r="B598" s="21">
        <v>2445</v>
      </c>
      <c r="C598" s="43">
        <v>46169</v>
      </c>
      <c r="D598" s="43" t="s">
        <v>436</v>
      </c>
      <c r="E598" s="21" t="s">
        <v>196</v>
      </c>
      <c r="F598" s="29">
        <v>-68.11</v>
      </c>
    </row>
    <row r="599" spans="1:6" hidden="1" x14ac:dyDescent="0.25">
      <c r="B599" s="21">
        <v>2445</v>
      </c>
      <c r="C599" s="43">
        <v>46169</v>
      </c>
      <c r="D599" s="43" t="s">
        <v>436</v>
      </c>
      <c r="E599" s="21" t="s">
        <v>196</v>
      </c>
      <c r="F599" s="29">
        <v>-91.62</v>
      </c>
    </row>
    <row r="600" spans="1:6" hidden="1" x14ac:dyDescent="0.25">
      <c r="B600" s="21">
        <v>2445</v>
      </c>
      <c r="C600" s="43">
        <v>46169</v>
      </c>
      <c r="D600" s="43" t="s">
        <v>440</v>
      </c>
      <c r="E600" s="21" t="s">
        <v>44</v>
      </c>
      <c r="F600" s="29">
        <v>-140.19</v>
      </c>
    </row>
    <row r="601" spans="1:6" hidden="1" x14ac:dyDescent="0.25">
      <c r="C601" s="43">
        <v>46170</v>
      </c>
      <c r="D601" s="43" t="s">
        <v>103</v>
      </c>
      <c r="E601" s="21" t="s">
        <v>9</v>
      </c>
      <c r="F601" s="29">
        <v>-91.62</v>
      </c>
    </row>
    <row r="602" spans="1:6" hidden="1" x14ac:dyDescent="0.25">
      <c r="C602" s="43">
        <v>46170</v>
      </c>
      <c r="D602" s="43" t="s">
        <v>103</v>
      </c>
      <c r="E602" s="21" t="s">
        <v>9</v>
      </c>
      <c r="F602" s="29">
        <v>-68.11</v>
      </c>
    </row>
    <row r="603" spans="1:6" hidden="1" x14ac:dyDescent="0.25">
      <c r="C603" s="43">
        <v>46170</v>
      </c>
      <c r="D603" s="43" t="s">
        <v>103</v>
      </c>
      <c r="E603" s="21" t="s">
        <v>9</v>
      </c>
      <c r="F603" s="29">
        <v>-40</v>
      </c>
    </row>
    <row r="604" spans="1:6" hidden="1" x14ac:dyDescent="0.25">
      <c r="A604" s="56"/>
      <c r="C604" s="43">
        <v>46170</v>
      </c>
      <c r="D604" s="43" t="s">
        <v>70</v>
      </c>
      <c r="E604" s="56" t="s">
        <v>18</v>
      </c>
      <c r="F604" s="29">
        <v>32.25</v>
      </c>
    </row>
    <row r="605" spans="1:6" hidden="1" x14ac:dyDescent="0.25">
      <c r="B605" s="21">
        <v>9203</v>
      </c>
      <c r="C605" s="43">
        <v>46171</v>
      </c>
      <c r="D605" s="43" t="s">
        <v>91</v>
      </c>
      <c r="E605" s="21" t="s">
        <v>44</v>
      </c>
      <c r="F605" s="21">
        <v>2</v>
      </c>
    </row>
    <row r="606" spans="1:6" hidden="1" x14ac:dyDescent="0.25">
      <c r="A606" s="56"/>
      <c r="C606" s="43">
        <v>46171</v>
      </c>
      <c r="D606" s="43" t="s">
        <v>85</v>
      </c>
      <c r="E606" s="56" t="s">
        <v>18</v>
      </c>
      <c r="F606" s="29">
        <v>9</v>
      </c>
    </row>
    <row r="607" spans="1:6" hidden="1" x14ac:dyDescent="0.25">
      <c r="C607" s="43">
        <v>46171</v>
      </c>
      <c r="D607" s="43" t="s">
        <v>105</v>
      </c>
      <c r="E607" s="21" t="s">
        <v>9</v>
      </c>
      <c r="F607" s="29">
        <v>14.93</v>
      </c>
    </row>
    <row r="608" spans="1:6" hidden="1" x14ac:dyDescent="0.25">
      <c r="B608" s="21">
        <v>31005</v>
      </c>
      <c r="C608" s="43">
        <v>46171</v>
      </c>
      <c r="D608" s="43" t="s">
        <v>195</v>
      </c>
      <c r="E608" s="21" t="s">
        <v>9</v>
      </c>
      <c r="F608" s="28">
        <v>14.93</v>
      </c>
    </row>
    <row r="609" spans="1:6" hidden="1" x14ac:dyDescent="0.25">
      <c r="C609" s="43">
        <v>46171</v>
      </c>
      <c r="D609" s="43" t="s">
        <v>104</v>
      </c>
      <c r="E609" s="21" t="s">
        <v>11</v>
      </c>
      <c r="F609" s="29">
        <v>15.93</v>
      </c>
    </row>
    <row r="610" spans="1:6" hidden="1" x14ac:dyDescent="0.25">
      <c r="C610" s="43">
        <v>46171</v>
      </c>
      <c r="D610" s="43" t="s">
        <v>98</v>
      </c>
      <c r="E610" s="21" t="s">
        <v>6</v>
      </c>
      <c r="F610" s="29">
        <v>20</v>
      </c>
    </row>
    <row r="611" spans="1:6" hidden="1" x14ac:dyDescent="0.25">
      <c r="A611" s="22"/>
      <c r="B611" s="22"/>
      <c r="C611" s="27">
        <v>46157</v>
      </c>
      <c r="D611" s="43" t="s">
        <v>74</v>
      </c>
      <c r="E611" s="22" t="s">
        <v>17</v>
      </c>
      <c r="F611" s="28">
        <v>46.19</v>
      </c>
    </row>
    <row r="612" spans="1:6" hidden="1" x14ac:dyDescent="0.25">
      <c r="B612" s="21">
        <v>9495</v>
      </c>
      <c r="C612" s="43">
        <v>46171</v>
      </c>
      <c r="D612" s="43" t="s">
        <v>70</v>
      </c>
      <c r="E612" s="21" t="s">
        <v>18</v>
      </c>
      <c r="F612" s="29">
        <v>32.25</v>
      </c>
    </row>
    <row r="613" spans="1:6" hidden="1" x14ac:dyDescent="0.25">
      <c r="B613" s="21">
        <v>9203</v>
      </c>
      <c r="C613" s="43">
        <v>46173</v>
      </c>
      <c r="D613" s="43" t="s">
        <v>277</v>
      </c>
      <c r="E613" s="21" t="s">
        <v>18</v>
      </c>
      <c r="F613" s="21">
        <v>-9</v>
      </c>
    </row>
    <row r="614" spans="1:6" hidden="1" x14ac:dyDescent="0.25">
      <c r="B614" s="21">
        <v>9203</v>
      </c>
      <c r="C614" s="43">
        <v>46173</v>
      </c>
      <c r="D614" s="43" t="s">
        <v>276</v>
      </c>
      <c r="E614" s="21" t="s">
        <v>6</v>
      </c>
      <c r="F614" s="21">
        <v>20</v>
      </c>
    </row>
    <row r="615" spans="1:6" hidden="1" x14ac:dyDescent="0.25">
      <c r="B615" s="21">
        <v>9495</v>
      </c>
      <c r="C615" s="43">
        <v>46159</v>
      </c>
      <c r="D615" s="43" t="s">
        <v>368</v>
      </c>
      <c r="E615" s="21" t="s">
        <v>17</v>
      </c>
      <c r="F615" s="29">
        <v>46.19</v>
      </c>
    </row>
    <row r="616" spans="1:6" hidden="1" x14ac:dyDescent="0.25">
      <c r="B616" s="21">
        <v>9203</v>
      </c>
      <c r="C616" s="43">
        <v>46174</v>
      </c>
      <c r="D616" s="43" t="s">
        <v>104</v>
      </c>
      <c r="E616" s="21" t="s">
        <v>75</v>
      </c>
      <c r="F616" s="28">
        <v>2.99</v>
      </c>
    </row>
    <row r="617" spans="1:6" hidden="1" x14ac:dyDescent="0.25">
      <c r="B617" s="21">
        <v>9203</v>
      </c>
      <c r="C617" s="27">
        <v>46174</v>
      </c>
      <c r="D617" s="43" t="s">
        <v>45</v>
      </c>
      <c r="E617" s="21" t="s">
        <v>44</v>
      </c>
      <c r="F617" s="26">
        <v>26.56</v>
      </c>
    </row>
    <row r="618" spans="1:6" hidden="1" x14ac:dyDescent="0.25">
      <c r="B618" s="21">
        <v>9203</v>
      </c>
      <c r="C618" s="27">
        <v>46175</v>
      </c>
      <c r="D618" s="43" t="s">
        <v>45</v>
      </c>
      <c r="E618" s="21" t="s">
        <v>44</v>
      </c>
      <c r="F618" s="26">
        <v>-26.56</v>
      </c>
    </row>
    <row r="619" spans="1:6" hidden="1" x14ac:dyDescent="0.25">
      <c r="B619" s="21">
        <v>9203</v>
      </c>
      <c r="C619" s="27">
        <v>46175</v>
      </c>
      <c r="D619" s="43" t="s">
        <v>45</v>
      </c>
      <c r="E619" s="21" t="s">
        <v>44</v>
      </c>
      <c r="F619" s="26">
        <v>-26.56</v>
      </c>
    </row>
    <row r="620" spans="1:6" hidden="1" x14ac:dyDescent="0.25">
      <c r="B620" s="21" t="s">
        <v>196</v>
      </c>
      <c r="C620" s="43">
        <v>46175</v>
      </c>
      <c r="D620" s="43" t="s">
        <v>89</v>
      </c>
      <c r="E620" s="21" t="s">
        <v>9</v>
      </c>
      <c r="F620" s="28">
        <v>-16.2</v>
      </c>
    </row>
    <row r="621" spans="1:6" hidden="1" x14ac:dyDescent="0.25">
      <c r="B621" s="21">
        <v>5676</v>
      </c>
      <c r="C621" s="43">
        <v>46175</v>
      </c>
      <c r="D621" s="43" t="s">
        <v>85</v>
      </c>
      <c r="E621" s="21" t="s">
        <v>18</v>
      </c>
      <c r="F621" s="28">
        <v>5</v>
      </c>
    </row>
    <row r="622" spans="1:6" hidden="1" x14ac:dyDescent="0.25">
      <c r="B622" s="21">
        <v>9203</v>
      </c>
      <c r="C622" s="27">
        <v>46175</v>
      </c>
      <c r="D622" s="43" t="s">
        <v>55</v>
      </c>
      <c r="E622" s="21" t="s">
        <v>18</v>
      </c>
      <c r="F622" s="28">
        <v>32.25</v>
      </c>
    </row>
    <row r="623" spans="1:6" hidden="1" x14ac:dyDescent="0.25">
      <c r="B623" s="21">
        <v>5676</v>
      </c>
      <c r="C623" s="43">
        <v>46175</v>
      </c>
      <c r="D623" s="43" t="s">
        <v>86</v>
      </c>
      <c r="E623" s="21" t="s">
        <v>44</v>
      </c>
      <c r="F623" s="26">
        <v>54.94</v>
      </c>
    </row>
    <row r="624" spans="1:6" hidden="1" x14ac:dyDescent="0.25">
      <c r="B624" s="21">
        <v>9495</v>
      </c>
      <c r="C624" s="43">
        <v>46175</v>
      </c>
      <c r="D624" s="43" t="s">
        <v>48</v>
      </c>
      <c r="E624" s="21" t="s">
        <v>44</v>
      </c>
      <c r="F624" s="26">
        <v>5.64</v>
      </c>
    </row>
    <row r="625" spans="2:6" hidden="1" x14ac:dyDescent="0.25">
      <c r="B625" s="21">
        <v>9495</v>
      </c>
      <c r="C625" s="43">
        <v>46175</v>
      </c>
      <c r="D625" s="43" t="s">
        <v>48</v>
      </c>
      <c r="E625" s="21" t="s">
        <v>44</v>
      </c>
      <c r="F625" s="26">
        <v>6.56</v>
      </c>
    </row>
    <row r="626" spans="2:6" hidden="1" x14ac:dyDescent="0.25">
      <c r="B626" s="21">
        <v>9495</v>
      </c>
      <c r="C626" s="43">
        <v>46175</v>
      </c>
      <c r="D626" s="43" t="s">
        <v>86</v>
      </c>
      <c r="E626" s="21" t="s">
        <v>44</v>
      </c>
      <c r="F626" s="26">
        <f>79.95-14.2</f>
        <v>65.75</v>
      </c>
    </row>
    <row r="627" spans="2:6" hidden="1" x14ac:dyDescent="0.25">
      <c r="B627" s="21">
        <v>9495</v>
      </c>
      <c r="C627" s="43">
        <v>46175</v>
      </c>
      <c r="D627" s="43" t="s">
        <v>300</v>
      </c>
      <c r="E627" s="21" t="s">
        <v>44</v>
      </c>
      <c r="F627" s="29">
        <v>79.95</v>
      </c>
    </row>
    <row r="628" spans="2:6" hidden="1" x14ac:dyDescent="0.25">
      <c r="B628" s="21">
        <v>9495</v>
      </c>
      <c r="C628" s="43">
        <v>46175</v>
      </c>
      <c r="D628" s="43" t="s">
        <v>300</v>
      </c>
      <c r="E628" s="21" t="s">
        <v>44</v>
      </c>
      <c r="F628" s="29">
        <v>-14.2</v>
      </c>
    </row>
    <row r="629" spans="2:6" hidden="1" x14ac:dyDescent="0.25">
      <c r="B629" s="21">
        <v>2445</v>
      </c>
      <c r="C629" s="43">
        <v>46175</v>
      </c>
      <c r="D629" s="43" t="s">
        <v>60</v>
      </c>
      <c r="E629" s="21" t="s">
        <v>44</v>
      </c>
      <c r="F629" s="32">
        <v>-82.88</v>
      </c>
    </row>
    <row r="630" spans="2:6" hidden="1" x14ac:dyDescent="0.25">
      <c r="B630" s="21">
        <v>2445</v>
      </c>
      <c r="C630" s="24">
        <v>46175</v>
      </c>
      <c r="D630" s="21" t="s">
        <v>436</v>
      </c>
      <c r="E630" s="21" t="s">
        <v>196</v>
      </c>
      <c r="F630" s="21">
        <v>-16.2</v>
      </c>
    </row>
    <row r="631" spans="2:6" hidden="1" x14ac:dyDescent="0.25">
      <c r="B631" s="21">
        <v>5676</v>
      </c>
      <c r="C631" s="43">
        <v>46175</v>
      </c>
      <c r="D631" s="43" t="s">
        <v>520</v>
      </c>
      <c r="E631" s="21" t="s">
        <v>18</v>
      </c>
      <c r="F631" s="29">
        <v>5</v>
      </c>
    </row>
    <row r="632" spans="2:6" hidden="1" x14ac:dyDescent="0.25">
      <c r="B632" s="21">
        <v>5676</v>
      </c>
      <c r="C632" s="43">
        <v>46175</v>
      </c>
      <c r="D632" s="43" t="s">
        <v>300</v>
      </c>
      <c r="E632" s="21" t="s">
        <v>44</v>
      </c>
      <c r="F632" s="29">
        <v>54.94</v>
      </c>
    </row>
    <row r="633" spans="2:6" hidden="1" x14ac:dyDescent="0.25">
      <c r="B633" s="21">
        <v>9203</v>
      </c>
      <c r="C633" s="43">
        <v>46176</v>
      </c>
      <c r="D633" s="43" t="s">
        <v>110</v>
      </c>
      <c r="E633" s="21" t="s">
        <v>44</v>
      </c>
      <c r="F633" s="32">
        <v>-2</v>
      </c>
    </row>
    <row r="634" spans="2:6" hidden="1" x14ac:dyDescent="0.25">
      <c r="B634" s="21">
        <v>5676</v>
      </c>
      <c r="C634" s="43">
        <v>46176</v>
      </c>
      <c r="D634" s="43" t="s">
        <v>107</v>
      </c>
      <c r="E634" s="21" t="s">
        <v>14</v>
      </c>
      <c r="F634" s="29">
        <v>4.2300000000000004</v>
      </c>
    </row>
    <row r="635" spans="2:6" hidden="1" x14ac:dyDescent="0.25">
      <c r="B635" s="21">
        <v>5676</v>
      </c>
      <c r="C635" s="43">
        <v>46176</v>
      </c>
      <c r="D635" s="43" t="s">
        <v>107</v>
      </c>
      <c r="E635" s="21" t="s">
        <v>14</v>
      </c>
      <c r="F635" s="29">
        <v>6.69</v>
      </c>
    </row>
    <row r="636" spans="2:6" hidden="1" x14ac:dyDescent="0.25">
      <c r="B636" s="21">
        <v>9203</v>
      </c>
      <c r="C636" s="43">
        <v>46176</v>
      </c>
      <c r="D636" s="43" t="s">
        <v>55</v>
      </c>
      <c r="E636" s="21" t="s">
        <v>18</v>
      </c>
      <c r="F636" s="29">
        <v>32.25</v>
      </c>
    </row>
    <row r="637" spans="2:6" hidden="1" x14ac:dyDescent="0.25">
      <c r="B637" s="21">
        <v>5676</v>
      </c>
      <c r="C637" s="43">
        <v>46176</v>
      </c>
      <c r="D637" s="43" t="s">
        <v>69</v>
      </c>
      <c r="E637" s="21" t="s">
        <v>44</v>
      </c>
      <c r="F637" s="32">
        <v>37.770000000000003</v>
      </c>
    </row>
    <row r="638" spans="2:6" hidden="1" x14ac:dyDescent="0.25">
      <c r="B638" s="21">
        <v>9495</v>
      </c>
      <c r="C638" s="43">
        <v>46176</v>
      </c>
      <c r="D638" s="43" t="s">
        <v>279</v>
      </c>
      <c r="E638" s="21" t="s">
        <v>44</v>
      </c>
      <c r="F638" s="29">
        <v>5.64</v>
      </c>
    </row>
    <row r="639" spans="2:6" hidden="1" x14ac:dyDescent="0.25">
      <c r="B639" s="21">
        <v>9495</v>
      </c>
      <c r="C639" s="43">
        <v>46176</v>
      </c>
      <c r="D639" s="43" t="s">
        <v>279</v>
      </c>
      <c r="E639" s="21" t="s">
        <v>44</v>
      </c>
      <c r="F639" s="29">
        <v>6.56</v>
      </c>
    </row>
    <row r="640" spans="2:6" hidden="1" x14ac:dyDescent="0.25">
      <c r="B640" s="21">
        <v>2445</v>
      </c>
      <c r="C640" s="43">
        <v>46176</v>
      </c>
      <c r="D640" s="43" t="s">
        <v>109</v>
      </c>
      <c r="E640" s="21" t="s">
        <v>12</v>
      </c>
      <c r="F640" s="29">
        <v>3</v>
      </c>
    </row>
    <row r="641" spans="2:6" hidden="1" x14ac:dyDescent="0.25">
      <c r="B641" s="21">
        <v>2445</v>
      </c>
      <c r="C641" s="43">
        <v>46176</v>
      </c>
      <c r="D641" s="43" t="s">
        <v>111</v>
      </c>
      <c r="E641" s="21" t="s">
        <v>13</v>
      </c>
      <c r="F641" s="28">
        <v>20</v>
      </c>
    </row>
    <row r="642" spans="2:6" hidden="1" x14ac:dyDescent="0.25">
      <c r="B642" s="21">
        <v>2445</v>
      </c>
      <c r="C642" s="43">
        <v>46176</v>
      </c>
      <c r="D642" s="43" t="s">
        <v>108</v>
      </c>
      <c r="E642" s="21" t="s">
        <v>12</v>
      </c>
      <c r="F642" s="29">
        <v>53.5</v>
      </c>
    </row>
    <row r="643" spans="2:6" hidden="1" x14ac:dyDescent="0.25">
      <c r="B643" s="21">
        <v>5676</v>
      </c>
      <c r="C643" s="43">
        <v>46176</v>
      </c>
      <c r="D643" s="43" t="s">
        <v>258</v>
      </c>
      <c r="E643" s="21" t="s">
        <v>14</v>
      </c>
      <c r="F643" s="29">
        <v>4.2300000000000004</v>
      </c>
    </row>
    <row r="644" spans="2:6" hidden="1" x14ac:dyDescent="0.25">
      <c r="B644" s="21">
        <v>5676</v>
      </c>
      <c r="C644" s="43">
        <v>46176</v>
      </c>
      <c r="D644" s="43" t="s">
        <v>258</v>
      </c>
      <c r="E644" s="21" t="s">
        <v>14</v>
      </c>
      <c r="F644" s="29">
        <v>6.69</v>
      </c>
    </row>
    <row r="645" spans="2:6" hidden="1" x14ac:dyDescent="0.25">
      <c r="B645" s="21">
        <v>5676</v>
      </c>
      <c r="C645" s="43">
        <v>46176</v>
      </c>
      <c r="D645" s="43" t="s">
        <v>519</v>
      </c>
      <c r="E645" s="21" t="s">
        <v>44</v>
      </c>
      <c r="F645" s="29">
        <v>37.770000000000003</v>
      </c>
    </row>
    <row r="646" spans="2:6" x14ac:dyDescent="0.25">
      <c r="C646" s="43"/>
      <c r="D646" s="43"/>
    </row>
    <row r="647" spans="2:6" hidden="1" x14ac:dyDescent="0.25">
      <c r="B647" s="21">
        <v>2445</v>
      </c>
      <c r="C647" s="43">
        <v>46177</v>
      </c>
      <c r="D647" s="43" t="s">
        <v>106</v>
      </c>
      <c r="E647" s="21" t="s">
        <v>27</v>
      </c>
      <c r="F647" s="28">
        <v>100</v>
      </c>
    </row>
    <row r="648" spans="2:6" hidden="1" x14ac:dyDescent="0.25">
      <c r="B648" s="21">
        <v>9495</v>
      </c>
      <c r="C648" s="43">
        <v>46178</v>
      </c>
      <c r="D648" s="43" t="s">
        <v>112</v>
      </c>
      <c r="E648" s="21" t="s">
        <v>44</v>
      </c>
      <c r="F648" s="26">
        <v>-32.799999999999997</v>
      </c>
    </row>
    <row r="649" spans="2:6" hidden="1" x14ac:dyDescent="0.25">
      <c r="B649" s="21">
        <v>9495</v>
      </c>
      <c r="C649" s="43">
        <v>46178</v>
      </c>
      <c r="D649" s="43" t="s">
        <v>69</v>
      </c>
      <c r="E649" s="21" t="s">
        <v>44</v>
      </c>
      <c r="F649" s="28" t="s">
        <v>113</v>
      </c>
    </row>
    <row r="650" spans="2:6" hidden="1" x14ac:dyDescent="0.25">
      <c r="B650" s="21">
        <v>31005</v>
      </c>
      <c r="C650" s="27">
        <v>46179</v>
      </c>
      <c r="D650" s="43" t="s">
        <v>193</v>
      </c>
      <c r="E650" s="21" t="s">
        <v>14</v>
      </c>
      <c r="F650" s="28">
        <v>-7</v>
      </c>
    </row>
    <row r="651" spans="2:6" hidden="1" x14ac:dyDescent="0.25">
      <c r="B651" s="21">
        <v>31005</v>
      </c>
      <c r="C651" s="27">
        <v>46179</v>
      </c>
      <c r="D651" s="43" t="s">
        <v>194</v>
      </c>
      <c r="E651" s="21" t="s">
        <v>14</v>
      </c>
      <c r="F651" s="28">
        <v>10</v>
      </c>
    </row>
    <row r="652" spans="2:6" hidden="1" x14ac:dyDescent="0.25">
      <c r="B652" s="21">
        <v>6949</v>
      </c>
      <c r="C652" s="27">
        <v>46179</v>
      </c>
      <c r="D652" s="43" t="s">
        <v>68</v>
      </c>
      <c r="E652" s="21" t="s">
        <v>44</v>
      </c>
      <c r="F652" s="26">
        <v>51.44</v>
      </c>
    </row>
    <row r="653" spans="2:6" hidden="1" x14ac:dyDescent="0.25">
      <c r="B653" s="21">
        <v>2445</v>
      </c>
      <c r="C653" s="43">
        <v>46179</v>
      </c>
      <c r="D653" s="43" t="s">
        <v>114</v>
      </c>
      <c r="E653" s="21" t="s">
        <v>13</v>
      </c>
      <c r="F653" s="33">
        <v>40</v>
      </c>
    </row>
    <row r="654" spans="2:6" hidden="1" x14ac:dyDescent="0.25">
      <c r="B654" s="21">
        <v>9203</v>
      </c>
      <c r="C654" s="27">
        <v>46180</v>
      </c>
      <c r="D654" s="43" t="s">
        <v>69</v>
      </c>
      <c r="E654" s="21" t="s">
        <v>44</v>
      </c>
      <c r="F654" s="26">
        <v>40.96</v>
      </c>
    </row>
    <row r="655" spans="2:6" hidden="1" x14ac:dyDescent="0.25">
      <c r="B655" s="21">
        <v>5676</v>
      </c>
      <c r="C655" s="24">
        <v>46216</v>
      </c>
      <c r="D655" s="21" t="s">
        <v>255</v>
      </c>
      <c r="E655" s="21" t="s">
        <v>10</v>
      </c>
      <c r="F655" s="29">
        <v>21.78</v>
      </c>
    </row>
    <row r="656" spans="2:6" hidden="1" x14ac:dyDescent="0.25">
      <c r="C656" s="27">
        <v>46180</v>
      </c>
      <c r="D656" s="43" t="s">
        <v>98</v>
      </c>
      <c r="E656" s="21" t="s">
        <v>6</v>
      </c>
      <c r="F656" s="26">
        <v>117.86</v>
      </c>
    </row>
    <row r="657" spans="2:6" hidden="1" x14ac:dyDescent="0.25">
      <c r="B657" s="21">
        <v>9495</v>
      </c>
      <c r="C657" s="27">
        <v>46180</v>
      </c>
      <c r="D657" s="43" t="s">
        <v>116</v>
      </c>
      <c r="E657" s="21" t="s">
        <v>75</v>
      </c>
      <c r="F657" s="26">
        <v>7.99</v>
      </c>
    </row>
    <row r="658" spans="2:6" hidden="1" x14ac:dyDescent="0.25">
      <c r="B658" s="21">
        <v>9495</v>
      </c>
      <c r="C658" s="43">
        <v>46180</v>
      </c>
      <c r="D658" s="43" t="s">
        <v>365</v>
      </c>
      <c r="E658" s="21" t="s">
        <v>44</v>
      </c>
      <c r="F658" s="29">
        <v>-32.799999999999997</v>
      </c>
    </row>
    <row r="659" spans="2:6" hidden="1" x14ac:dyDescent="0.25">
      <c r="B659" s="21">
        <v>9495</v>
      </c>
      <c r="C659" s="27">
        <v>46181</v>
      </c>
      <c r="D659" s="43" t="s">
        <v>85</v>
      </c>
      <c r="E659" s="21" t="s">
        <v>18</v>
      </c>
      <c r="F659" s="28">
        <v>7</v>
      </c>
    </row>
    <row r="660" spans="2:6" hidden="1" x14ac:dyDescent="0.25">
      <c r="B660" s="21">
        <v>9495</v>
      </c>
      <c r="C660" s="43">
        <v>46181</v>
      </c>
      <c r="D660" s="43" t="s">
        <v>276</v>
      </c>
      <c r="E660" s="21" t="s">
        <v>6</v>
      </c>
      <c r="F660" s="29">
        <v>117.86</v>
      </c>
    </row>
    <row r="661" spans="2:6" hidden="1" x14ac:dyDescent="0.25">
      <c r="B661" s="21">
        <v>6949</v>
      </c>
      <c r="C661" s="43">
        <v>46182</v>
      </c>
      <c r="D661" s="43" t="s">
        <v>68</v>
      </c>
      <c r="E661" s="21" t="s">
        <v>44</v>
      </c>
      <c r="F661" s="32">
        <v>14.59</v>
      </c>
    </row>
    <row r="662" spans="2:6" hidden="1" x14ac:dyDescent="0.25">
      <c r="B662" s="21">
        <v>9495</v>
      </c>
      <c r="C662" s="43">
        <v>46182</v>
      </c>
      <c r="D662" s="43" t="s">
        <v>120</v>
      </c>
      <c r="E662" s="21" t="s">
        <v>44</v>
      </c>
      <c r="F662" s="26">
        <v>6.56</v>
      </c>
    </row>
    <row r="663" spans="2:6" hidden="1" x14ac:dyDescent="0.25">
      <c r="B663" s="21">
        <v>9495</v>
      </c>
      <c r="C663" s="27">
        <v>46182</v>
      </c>
      <c r="D663" s="43" t="s">
        <v>85</v>
      </c>
      <c r="E663" s="21" t="s">
        <v>18</v>
      </c>
      <c r="F663" s="28">
        <v>8</v>
      </c>
    </row>
    <row r="664" spans="2:6" hidden="1" x14ac:dyDescent="0.25">
      <c r="B664" s="21">
        <v>9495</v>
      </c>
      <c r="C664" s="43">
        <v>46182</v>
      </c>
      <c r="D664" s="43" t="s">
        <v>117</v>
      </c>
      <c r="E664" s="21" t="s">
        <v>44</v>
      </c>
      <c r="F664" s="26">
        <v>12.9</v>
      </c>
    </row>
    <row r="665" spans="2:6" hidden="1" x14ac:dyDescent="0.25">
      <c r="B665" s="21">
        <v>9495</v>
      </c>
      <c r="C665" s="43">
        <v>46182</v>
      </c>
      <c r="D665" s="43" t="s">
        <v>118</v>
      </c>
      <c r="E665" s="21" t="s">
        <v>11</v>
      </c>
      <c r="F665" s="28">
        <v>26.1</v>
      </c>
    </row>
    <row r="666" spans="2:6" hidden="1" x14ac:dyDescent="0.25">
      <c r="B666" s="21">
        <v>9495</v>
      </c>
      <c r="C666" s="43">
        <v>46182</v>
      </c>
      <c r="D666" s="43" t="s">
        <v>119</v>
      </c>
      <c r="E666" s="21" t="s">
        <v>10</v>
      </c>
      <c r="F666" s="28">
        <v>98</v>
      </c>
    </row>
    <row r="667" spans="2:6" hidden="1" x14ac:dyDescent="0.25">
      <c r="B667" s="21">
        <v>9203</v>
      </c>
      <c r="C667" s="43">
        <v>46057</v>
      </c>
      <c r="D667" s="43" t="s">
        <v>283</v>
      </c>
      <c r="E667" s="21" t="s">
        <v>17</v>
      </c>
      <c r="F667" s="21">
        <v>43</v>
      </c>
    </row>
    <row r="668" spans="2:6" hidden="1" x14ac:dyDescent="0.25">
      <c r="B668" s="21">
        <v>9495</v>
      </c>
      <c r="C668" s="43">
        <v>46182</v>
      </c>
      <c r="D668" s="43" t="s">
        <v>277</v>
      </c>
      <c r="E668" s="21" t="s">
        <v>18</v>
      </c>
      <c r="F668" s="29">
        <v>7</v>
      </c>
    </row>
    <row r="669" spans="2:6" hidden="1" x14ac:dyDescent="0.25">
      <c r="B669" s="21">
        <v>2445</v>
      </c>
      <c r="C669" s="43">
        <v>46182</v>
      </c>
      <c r="D669" s="43" t="s">
        <v>60</v>
      </c>
      <c r="E669" s="21" t="s">
        <v>44</v>
      </c>
      <c r="F669" s="26">
        <v>-319.64</v>
      </c>
    </row>
    <row r="670" spans="2:6" hidden="1" x14ac:dyDescent="0.25">
      <c r="B670" s="21">
        <v>9203</v>
      </c>
      <c r="C670" s="43">
        <v>46183</v>
      </c>
      <c r="D670" s="43" t="s">
        <v>110</v>
      </c>
      <c r="E670" s="21" t="s">
        <v>44</v>
      </c>
      <c r="F670" s="32">
        <v>-2</v>
      </c>
    </row>
    <row r="671" spans="2:6" hidden="1" x14ac:dyDescent="0.25">
      <c r="B671" s="21">
        <v>6949</v>
      </c>
      <c r="C671" s="43">
        <v>46183</v>
      </c>
      <c r="D671" s="43" t="s">
        <v>68</v>
      </c>
      <c r="E671" s="21" t="s">
        <v>44</v>
      </c>
      <c r="F671" s="26">
        <v>19.170000000000002</v>
      </c>
    </row>
    <row r="672" spans="2:6" hidden="1" x14ac:dyDescent="0.25">
      <c r="B672" s="21">
        <v>6949</v>
      </c>
      <c r="C672" s="43">
        <v>46183</v>
      </c>
      <c r="D672" s="43" t="s">
        <v>68</v>
      </c>
      <c r="E672" s="21" t="s">
        <v>44</v>
      </c>
      <c r="F672" s="32">
        <v>20.18</v>
      </c>
    </row>
    <row r="673" spans="2:6" hidden="1" x14ac:dyDescent="0.25">
      <c r="B673" s="21">
        <v>6949</v>
      </c>
      <c r="C673" s="43">
        <v>46183</v>
      </c>
      <c r="D673" s="43" t="s">
        <v>68</v>
      </c>
      <c r="E673" s="21" t="s">
        <v>44</v>
      </c>
      <c r="F673" s="32">
        <v>21.24</v>
      </c>
    </row>
    <row r="674" spans="2:6" hidden="1" x14ac:dyDescent="0.25">
      <c r="B674" s="21">
        <v>9203</v>
      </c>
      <c r="C674" s="43">
        <v>46183</v>
      </c>
      <c r="D674" s="43" t="s">
        <v>70</v>
      </c>
      <c r="E674" s="21" t="s">
        <v>18</v>
      </c>
      <c r="F674" s="28">
        <v>32.25</v>
      </c>
    </row>
    <row r="675" spans="2:6" hidden="1" x14ac:dyDescent="0.25">
      <c r="B675" s="21">
        <v>9495</v>
      </c>
      <c r="C675" s="43">
        <v>46183</v>
      </c>
      <c r="D675" s="43" t="s">
        <v>69</v>
      </c>
      <c r="E675" s="21" t="s">
        <v>44</v>
      </c>
      <c r="F675" s="32">
        <v>22.3</v>
      </c>
    </row>
    <row r="676" spans="2:6" hidden="1" x14ac:dyDescent="0.25">
      <c r="B676" s="21">
        <v>9495</v>
      </c>
      <c r="C676" s="43">
        <v>46183</v>
      </c>
      <c r="D676" s="43" t="s">
        <v>121</v>
      </c>
      <c r="E676" s="21" t="s">
        <v>13</v>
      </c>
      <c r="F676" s="29">
        <v>22.49</v>
      </c>
    </row>
    <row r="677" spans="2:6" hidden="1" x14ac:dyDescent="0.25">
      <c r="B677" s="21">
        <v>9495</v>
      </c>
      <c r="C677" s="43">
        <v>46183</v>
      </c>
      <c r="D677" s="43" t="s">
        <v>69</v>
      </c>
      <c r="E677" s="21" t="s">
        <v>44</v>
      </c>
      <c r="F677" s="32">
        <v>91.26</v>
      </c>
    </row>
    <row r="678" spans="2:6" hidden="1" x14ac:dyDescent="0.25">
      <c r="B678" s="21">
        <v>9495</v>
      </c>
      <c r="C678" s="43">
        <v>46183</v>
      </c>
      <c r="D678" s="43" t="s">
        <v>364</v>
      </c>
      <c r="E678" s="21" t="s">
        <v>44</v>
      </c>
      <c r="F678" s="29">
        <v>12.9</v>
      </c>
    </row>
    <row r="679" spans="2:6" hidden="1" x14ac:dyDescent="0.25">
      <c r="B679" s="21">
        <v>9495</v>
      </c>
      <c r="C679" s="43">
        <v>46183</v>
      </c>
      <c r="D679" s="43" t="s">
        <v>277</v>
      </c>
      <c r="E679" s="21" t="s">
        <v>18</v>
      </c>
      <c r="F679" s="29">
        <v>8</v>
      </c>
    </row>
    <row r="680" spans="2:6" hidden="1" x14ac:dyDescent="0.25">
      <c r="B680" s="21">
        <v>9495</v>
      </c>
      <c r="C680" s="27">
        <v>46183</v>
      </c>
      <c r="D680" s="43" t="s">
        <v>279</v>
      </c>
      <c r="E680" s="21" t="s">
        <v>44</v>
      </c>
      <c r="F680" s="28">
        <v>6.56</v>
      </c>
    </row>
    <row r="681" spans="2:6" hidden="1" x14ac:dyDescent="0.25">
      <c r="B681" s="21">
        <v>9495</v>
      </c>
      <c r="C681" s="43">
        <v>46183</v>
      </c>
      <c r="D681" s="43" t="s">
        <v>63</v>
      </c>
      <c r="E681" s="21" t="s">
        <v>11</v>
      </c>
      <c r="F681" s="29">
        <v>26.1</v>
      </c>
    </row>
    <row r="682" spans="2:6" hidden="1" x14ac:dyDescent="0.25">
      <c r="B682" s="21">
        <v>9495</v>
      </c>
      <c r="C682" s="43">
        <v>46183</v>
      </c>
      <c r="D682" s="43" t="s">
        <v>315</v>
      </c>
      <c r="E682" s="21" t="s">
        <v>10</v>
      </c>
      <c r="F682" s="29">
        <v>98</v>
      </c>
    </row>
    <row r="683" spans="2:6" hidden="1" x14ac:dyDescent="0.25">
      <c r="B683" s="21">
        <v>9203</v>
      </c>
      <c r="C683" s="43">
        <v>46184</v>
      </c>
      <c r="D683" s="43" t="s">
        <v>70</v>
      </c>
      <c r="E683" s="21" t="s">
        <v>18</v>
      </c>
      <c r="F683" s="28">
        <v>32.25</v>
      </c>
    </row>
    <row r="684" spans="2:6" hidden="1" x14ac:dyDescent="0.25">
      <c r="B684" s="21">
        <v>9495</v>
      </c>
      <c r="C684" s="43">
        <v>46184</v>
      </c>
      <c r="D684" s="43" t="s">
        <v>120</v>
      </c>
      <c r="E684" s="21" t="s">
        <v>44</v>
      </c>
      <c r="F684" s="26">
        <v>24.8</v>
      </c>
    </row>
    <row r="685" spans="2:6" hidden="1" x14ac:dyDescent="0.25">
      <c r="B685" s="21">
        <v>9495</v>
      </c>
      <c r="C685" s="43">
        <v>46184</v>
      </c>
      <c r="D685" s="43" t="s">
        <v>413</v>
      </c>
      <c r="E685" s="21" t="s">
        <v>44</v>
      </c>
      <c r="F685" s="29">
        <v>22.3</v>
      </c>
    </row>
    <row r="686" spans="2:6" hidden="1" x14ac:dyDescent="0.25">
      <c r="B686" s="21">
        <v>9495</v>
      </c>
      <c r="C686" s="43">
        <v>46184</v>
      </c>
      <c r="D686" s="43" t="s">
        <v>363</v>
      </c>
      <c r="E686" s="21" t="s">
        <v>13</v>
      </c>
      <c r="F686" s="29">
        <v>22.49</v>
      </c>
    </row>
    <row r="687" spans="2:6" hidden="1" x14ac:dyDescent="0.25">
      <c r="B687" s="21">
        <v>9495</v>
      </c>
      <c r="C687" s="43">
        <v>46184</v>
      </c>
      <c r="D687" s="43" t="s">
        <v>414</v>
      </c>
      <c r="E687" s="21" t="s">
        <v>44</v>
      </c>
      <c r="F687" s="29">
        <v>52.81</v>
      </c>
    </row>
    <row r="688" spans="2:6" hidden="1" x14ac:dyDescent="0.25">
      <c r="B688" s="21">
        <v>9495</v>
      </c>
      <c r="C688" s="43">
        <v>46184</v>
      </c>
      <c r="D688" s="43" t="s">
        <v>415</v>
      </c>
      <c r="E688" s="21" t="s">
        <v>44</v>
      </c>
      <c r="F688" s="29">
        <v>38.450000000000003</v>
      </c>
    </row>
    <row r="689" spans="2:6" hidden="1" x14ac:dyDescent="0.25">
      <c r="B689" s="21">
        <v>9203</v>
      </c>
      <c r="C689" s="43">
        <v>46185</v>
      </c>
      <c r="D689" s="43" t="s">
        <v>110</v>
      </c>
      <c r="E689" s="21" t="s">
        <v>44</v>
      </c>
      <c r="F689" s="32">
        <v>-21.05</v>
      </c>
    </row>
    <row r="690" spans="2:6" hidden="1" x14ac:dyDescent="0.25">
      <c r="C690" s="43">
        <v>46185</v>
      </c>
      <c r="D690" s="43" t="s">
        <v>124</v>
      </c>
      <c r="E690" s="21" t="s">
        <v>8</v>
      </c>
      <c r="F690" s="29">
        <v>315</v>
      </c>
    </row>
    <row r="691" spans="2:6" hidden="1" x14ac:dyDescent="0.25">
      <c r="B691" s="21">
        <v>9495</v>
      </c>
      <c r="C691" s="43">
        <v>46185</v>
      </c>
      <c r="D691" s="43" t="s">
        <v>166</v>
      </c>
      <c r="E691" s="21" t="s">
        <v>12</v>
      </c>
      <c r="F691" s="28">
        <v>118.94</v>
      </c>
    </row>
    <row r="692" spans="2:6" hidden="1" x14ac:dyDescent="0.25">
      <c r="B692" s="21">
        <v>9495</v>
      </c>
      <c r="C692" s="43">
        <v>46185</v>
      </c>
      <c r="D692" s="43" t="s">
        <v>279</v>
      </c>
      <c r="E692" s="21" t="s">
        <v>44</v>
      </c>
      <c r="F692" s="29">
        <v>24.8</v>
      </c>
    </row>
    <row r="693" spans="2:6" hidden="1" x14ac:dyDescent="0.25">
      <c r="B693" s="21">
        <v>5676</v>
      </c>
      <c r="C693" s="43">
        <v>46185</v>
      </c>
      <c r="D693" s="43" t="s">
        <v>519</v>
      </c>
      <c r="E693" s="21" t="s">
        <v>44</v>
      </c>
      <c r="F693" s="29">
        <v>-21.05</v>
      </c>
    </row>
    <row r="694" spans="2:6" hidden="1" x14ac:dyDescent="0.25">
      <c r="B694" s="21">
        <v>6949</v>
      </c>
      <c r="C694" s="43">
        <v>46186</v>
      </c>
      <c r="D694" s="43" t="s">
        <v>96</v>
      </c>
      <c r="E694" s="21" t="s">
        <v>44</v>
      </c>
      <c r="F694" s="28">
        <v>14.62</v>
      </c>
    </row>
    <row r="695" spans="2:6" hidden="1" x14ac:dyDescent="0.25">
      <c r="B695" s="21">
        <v>9495</v>
      </c>
      <c r="C695" s="43">
        <v>46186</v>
      </c>
      <c r="D695" s="43" t="s">
        <v>98</v>
      </c>
      <c r="E695" s="21" t="s">
        <v>6</v>
      </c>
      <c r="F695" s="23">
        <v>155.81</v>
      </c>
    </row>
    <row r="696" spans="2:6" hidden="1" x14ac:dyDescent="0.25">
      <c r="B696" s="21">
        <v>9203</v>
      </c>
      <c r="C696" s="43">
        <v>46187</v>
      </c>
      <c r="D696" s="43" t="s">
        <v>191</v>
      </c>
      <c r="E696" s="21" t="s">
        <v>11</v>
      </c>
      <c r="F696" s="29">
        <v>5</v>
      </c>
    </row>
    <row r="697" spans="2:6" hidden="1" x14ac:dyDescent="0.25">
      <c r="B697" s="21">
        <v>6949</v>
      </c>
      <c r="C697" s="43">
        <v>46187</v>
      </c>
      <c r="D697" s="43" t="s">
        <v>68</v>
      </c>
      <c r="E697" s="21" t="s">
        <v>44</v>
      </c>
      <c r="F697" s="29">
        <v>10.36</v>
      </c>
    </row>
    <row r="698" spans="2:6" hidden="1" x14ac:dyDescent="0.25">
      <c r="B698" s="21">
        <v>6949</v>
      </c>
      <c r="C698" s="43">
        <v>46187</v>
      </c>
      <c r="D698" s="43" t="s">
        <v>68</v>
      </c>
      <c r="E698" s="21" t="s">
        <v>44</v>
      </c>
      <c r="F698" s="29">
        <v>22.09</v>
      </c>
    </row>
    <row r="699" spans="2:6" hidden="1" x14ac:dyDescent="0.25">
      <c r="B699" s="21">
        <v>9495</v>
      </c>
      <c r="C699" s="43">
        <v>46187</v>
      </c>
      <c r="D699" s="43" t="s">
        <v>189</v>
      </c>
      <c r="E699" s="21" t="s">
        <v>12</v>
      </c>
      <c r="F699" s="23">
        <v>66.34</v>
      </c>
    </row>
    <row r="700" spans="2:6" hidden="1" x14ac:dyDescent="0.25">
      <c r="B700" s="21">
        <v>9495</v>
      </c>
      <c r="C700" s="43">
        <v>46187</v>
      </c>
      <c r="D700" s="43" t="s">
        <v>190</v>
      </c>
      <c r="E700" s="21" t="s">
        <v>9</v>
      </c>
      <c r="F700" s="23">
        <v>124.65</v>
      </c>
    </row>
    <row r="701" spans="2:6" hidden="1" x14ac:dyDescent="0.25">
      <c r="B701" s="21">
        <v>9495</v>
      </c>
      <c r="C701" s="43">
        <v>46187</v>
      </c>
      <c r="D701" s="43" t="s">
        <v>235</v>
      </c>
      <c r="E701" s="21" t="s">
        <v>9</v>
      </c>
      <c r="F701" s="29">
        <v>118.94</v>
      </c>
    </row>
    <row r="702" spans="2:6" hidden="1" x14ac:dyDescent="0.25">
      <c r="B702" s="21">
        <v>31005</v>
      </c>
      <c r="C702" s="43">
        <v>46188</v>
      </c>
      <c r="D702" s="43" t="s">
        <v>192</v>
      </c>
      <c r="E702" s="21" t="s">
        <v>9</v>
      </c>
      <c r="F702" s="29">
        <v>10.85</v>
      </c>
    </row>
    <row r="703" spans="2:6" hidden="1" x14ac:dyDescent="0.25">
      <c r="B703" s="21">
        <v>6949</v>
      </c>
      <c r="C703" s="43">
        <v>46188</v>
      </c>
      <c r="D703" s="43" t="s">
        <v>68</v>
      </c>
      <c r="E703" s="21" t="s">
        <v>44</v>
      </c>
      <c r="F703" s="29">
        <v>19.170000000000002</v>
      </c>
    </row>
    <row r="704" spans="2:6" hidden="1" x14ac:dyDescent="0.25">
      <c r="B704" s="21">
        <v>9203</v>
      </c>
      <c r="C704" s="43">
        <v>46188</v>
      </c>
      <c r="D704" s="43" t="s">
        <v>70</v>
      </c>
      <c r="E704" s="21" t="s">
        <v>18</v>
      </c>
      <c r="F704" s="28">
        <v>32.25</v>
      </c>
    </row>
    <row r="705" spans="2:6" hidden="1" x14ac:dyDescent="0.25">
      <c r="B705" s="21" t="s">
        <v>196</v>
      </c>
      <c r="C705" s="27">
        <v>46188</v>
      </c>
      <c r="D705" s="43" t="s">
        <v>128</v>
      </c>
      <c r="E705" s="21" t="s">
        <v>27</v>
      </c>
      <c r="F705" s="26">
        <v>100</v>
      </c>
    </row>
    <row r="706" spans="2:6" hidden="1" x14ac:dyDescent="0.25">
      <c r="C706" s="43">
        <v>46188</v>
      </c>
      <c r="D706" s="43" t="s">
        <v>126</v>
      </c>
      <c r="E706" s="21" t="s">
        <v>27</v>
      </c>
      <c r="F706" s="28">
        <v>130</v>
      </c>
    </row>
    <row r="707" spans="2:6" hidden="1" x14ac:dyDescent="0.25">
      <c r="B707" s="21">
        <v>9495</v>
      </c>
      <c r="C707" s="43">
        <v>46188</v>
      </c>
      <c r="D707" s="43" t="s">
        <v>76</v>
      </c>
      <c r="E707" s="21" t="s">
        <v>75</v>
      </c>
      <c r="F707" s="29">
        <v>18.989999999999998</v>
      </c>
    </row>
    <row r="708" spans="2:6" hidden="1" x14ac:dyDescent="0.25">
      <c r="B708" s="21">
        <v>9495</v>
      </c>
      <c r="C708" s="43">
        <v>46188</v>
      </c>
      <c r="D708" s="43" t="s">
        <v>91</v>
      </c>
      <c r="E708" s="21" t="s">
        <v>44</v>
      </c>
      <c r="F708" s="29">
        <v>-2</v>
      </c>
    </row>
    <row r="709" spans="2:6" hidden="1" x14ac:dyDescent="0.25">
      <c r="B709" s="21">
        <v>9495</v>
      </c>
      <c r="C709" s="43">
        <v>46188</v>
      </c>
      <c r="D709" s="43" t="s">
        <v>91</v>
      </c>
      <c r="E709" s="21" t="s">
        <v>44</v>
      </c>
      <c r="F709" s="29">
        <v>-2</v>
      </c>
    </row>
    <row r="710" spans="2:6" hidden="1" x14ac:dyDescent="0.25">
      <c r="B710" s="21">
        <v>9495</v>
      </c>
      <c r="C710" s="43">
        <v>46188</v>
      </c>
      <c r="D710" s="43" t="s">
        <v>282</v>
      </c>
      <c r="E710" s="21" t="s">
        <v>9</v>
      </c>
      <c r="F710" s="29">
        <v>147.94999999999999</v>
      </c>
    </row>
    <row r="711" spans="2:6" hidden="1" x14ac:dyDescent="0.25">
      <c r="B711" s="21">
        <v>9495</v>
      </c>
      <c r="C711" s="43">
        <v>46188</v>
      </c>
      <c r="D711" s="43" t="s">
        <v>276</v>
      </c>
      <c r="E711" s="21" t="s">
        <v>6</v>
      </c>
      <c r="F711" s="29">
        <v>155.81</v>
      </c>
    </row>
    <row r="712" spans="2:6" hidden="1" x14ac:dyDescent="0.25">
      <c r="B712" s="21">
        <v>2445</v>
      </c>
      <c r="C712" s="43">
        <v>46188</v>
      </c>
      <c r="D712" s="43" t="s">
        <v>60</v>
      </c>
      <c r="E712" s="21" t="s">
        <v>44</v>
      </c>
      <c r="F712" s="26">
        <v>-211.83</v>
      </c>
    </row>
    <row r="713" spans="2:6" hidden="1" x14ac:dyDescent="0.25">
      <c r="B713" s="21">
        <v>6949</v>
      </c>
      <c r="C713" s="27">
        <v>46189</v>
      </c>
      <c r="D713" s="43" t="s">
        <v>68</v>
      </c>
      <c r="E713" s="21" t="s">
        <v>44</v>
      </c>
      <c r="F713" s="28">
        <v>12.83</v>
      </c>
    </row>
    <row r="714" spans="2:6" hidden="1" x14ac:dyDescent="0.25">
      <c r="B714" s="21">
        <v>6949</v>
      </c>
      <c r="C714" s="27">
        <v>46189</v>
      </c>
      <c r="D714" s="43" t="s">
        <v>68</v>
      </c>
      <c r="E714" s="21" t="s">
        <v>44</v>
      </c>
      <c r="F714" s="28">
        <v>30.8</v>
      </c>
    </row>
    <row r="715" spans="2:6" hidden="1" x14ac:dyDescent="0.25">
      <c r="B715" s="21">
        <v>9203</v>
      </c>
      <c r="C715" s="43">
        <v>46189</v>
      </c>
      <c r="D715" s="43" t="s">
        <v>70</v>
      </c>
      <c r="E715" s="21" t="s">
        <v>18</v>
      </c>
      <c r="F715" s="28">
        <v>32.25</v>
      </c>
    </row>
    <row r="716" spans="2:6" hidden="1" x14ac:dyDescent="0.25">
      <c r="B716" s="21">
        <v>9495</v>
      </c>
      <c r="C716" s="27">
        <v>46189</v>
      </c>
      <c r="D716" s="43" t="s">
        <v>120</v>
      </c>
      <c r="E716" s="21" t="s">
        <v>44</v>
      </c>
      <c r="F716" s="26">
        <v>13.04</v>
      </c>
    </row>
    <row r="717" spans="2:6" hidden="1" x14ac:dyDescent="0.25">
      <c r="B717" s="21">
        <v>9495</v>
      </c>
      <c r="C717" s="43">
        <v>46189</v>
      </c>
      <c r="D717" s="43" t="s">
        <v>361</v>
      </c>
      <c r="E717" s="21" t="s">
        <v>75</v>
      </c>
      <c r="F717" s="29">
        <v>18.989999999999998</v>
      </c>
    </row>
    <row r="718" spans="2:6" hidden="1" x14ac:dyDescent="0.25">
      <c r="B718" s="21">
        <v>9495</v>
      </c>
      <c r="C718" s="43">
        <v>46189</v>
      </c>
      <c r="D718" s="43" t="s">
        <v>362</v>
      </c>
      <c r="E718" s="21" t="s">
        <v>9</v>
      </c>
      <c r="F718" s="29">
        <v>70.34</v>
      </c>
    </row>
    <row r="719" spans="2:6" hidden="1" x14ac:dyDescent="0.25">
      <c r="B719" s="21">
        <v>9495</v>
      </c>
      <c r="C719" s="43">
        <v>46189</v>
      </c>
      <c r="D719" s="43" t="s">
        <v>276</v>
      </c>
      <c r="E719" s="21" t="s">
        <v>6</v>
      </c>
      <c r="F719" s="29">
        <v>-136.91999999999999</v>
      </c>
    </row>
    <row r="720" spans="2:6" hidden="1" x14ac:dyDescent="0.25">
      <c r="B720" s="21">
        <v>2445</v>
      </c>
      <c r="C720" s="27">
        <v>46189</v>
      </c>
      <c r="D720" s="43" t="s">
        <v>87</v>
      </c>
      <c r="E720" s="21" t="s">
        <v>18</v>
      </c>
      <c r="F720" s="28">
        <v>-230.5</v>
      </c>
    </row>
    <row r="721" spans="2:6" hidden="1" x14ac:dyDescent="0.25">
      <c r="B721" s="21">
        <v>2445</v>
      </c>
      <c r="C721" s="27">
        <v>46189</v>
      </c>
      <c r="D721" s="43" t="s">
        <v>197</v>
      </c>
      <c r="E721" s="21" t="s">
        <v>6</v>
      </c>
      <c r="F721" s="28">
        <v>-107.58</v>
      </c>
    </row>
    <row r="722" spans="2:6" hidden="1" x14ac:dyDescent="0.25">
      <c r="B722" s="21">
        <v>9203</v>
      </c>
      <c r="C722" s="27">
        <v>46190</v>
      </c>
      <c r="D722" s="43" t="s">
        <v>85</v>
      </c>
      <c r="E722" s="21" t="s">
        <v>18</v>
      </c>
      <c r="F722" s="28">
        <v>8</v>
      </c>
    </row>
    <row r="723" spans="2:6" hidden="1" x14ac:dyDescent="0.25">
      <c r="B723" s="21">
        <v>9203</v>
      </c>
      <c r="C723" s="27">
        <v>46190</v>
      </c>
      <c r="D723" s="43" t="s">
        <v>85</v>
      </c>
      <c r="E723" s="21" t="s">
        <v>18</v>
      </c>
      <c r="F723" s="28">
        <v>8</v>
      </c>
    </row>
    <row r="724" spans="2:6" hidden="1" x14ac:dyDescent="0.25">
      <c r="B724" s="21">
        <v>9203</v>
      </c>
      <c r="C724" s="27">
        <v>46190</v>
      </c>
      <c r="D724" s="43" t="s">
        <v>198</v>
      </c>
      <c r="E724" s="21" t="s">
        <v>14</v>
      </c>
      <c r="F724" s="28">
        <v>10</v>
      </c>
    </row>
    <row r="725" spans="2:6" hidden="1" x14ac:dyDescent="0.25">
      <c r="B725" s="21">
        <v>9203</v>
      </c>
      <c r="C725" s="43">
        <v>46065</v>
      </c>
      <c r="D725" s="43" t="s">
        <v>329</v>
      </c>
      <c r="E725" s="21" t="s">
        <v>17</v>
      </c>
      <c r="F725" s="21">
        <v>41</v>
      </c>
    </row>
    <row r="726" spans="2:6" hidden="1" x14ac:dyDescent="0.25">
      <c r="B726" s="21">
        <v>9495</v>
      </c>
      <c r="C726" s="27">
        <v>46190</v>
      </c>
      <c r="D726" s="43" t="s">
        <v>199</v>
      </c>
      <c r="E726" s="21" t="s">
        <v>9</v>
      </c>
      <c r="F726" s="28">
        <v>14.62</v>
      </c>
    </row>
    <row r="727" spans="2:6" hidden="1" x14ac:dyDescent="0.25">
      <c r="B727" s="21">
        <v>9495</v>
      </c>
      <c r="C727" s="27">
        <v>46190</v>
      </c>
      <c r="D727" s="43" t="s">
        <v>279</v>
      </c>
      <c r="E727" s="21" t="s">
        <v>44</v>
      </c>
      <c r="F727" s="28">
        <v>13.04</v>
      </c>
    </row>
    <row r="728" spans="2:6" hidden="1" x14ac:dyDescent="0.25">
      <c r="C728" s="31">
        <v>46191</v>
      </c>
      <c r="D728" s="21" t="s">
        <v>46</v>
      </c>
      <c r="E728" s="21" t="s">
        <v>14</v>
      </c>
      <c r="F728" s="29">
        <v>6.43</v>
      </c>
    </row>
    <row r="729" spans="2:6" hidden="1" x14ac:dyDescent="0.25">
      <c r="B729" s="21">
        <v>9495</v>
      </c>
      <c r="C729" s="24">
        <v>46191</v>
      </c>
      <c r="D729" s="21" t="s">
        <v>203</v>
      </c>
      <c r="E729" s="21" t="s">
        <v>12</v>
      </c>
      <c r="F729" s="29">
        <v>13.08</v>
      </c>
    </row>
    <row r="730" spans="2:6" hidden="1" x14ac:dyDescent="0.25">
      <c r="B730" s="21">
        <v>9495</v>
      </c>
      <c r="C730" s="24">
        <v>46191</v>
      </c>
      <c r="D730" s="21" t="s">
        <v>204</v>
      </c>
      <c r="E730" s="21" t="s">
        <v>9</v>
      </c>
      <c r="F730" s="29">
        <v>22.19</v>
      </c>
    </row>
    <row r="731" spans="2:6" hidden="1" x14ac:dyDescent="0.25">
      <c r="B731" s="21">
        <v>9495</v>
      </c>
      <c r="C731" s="24">
        <v>46191</v>
      </c>
      <c r="D731" s="21" t="s">
        <v>82</v>
      </c>
      <c r="E731" s="21" t="s">
        <v>16</v>
      </c>
      <c r="F731" s="29">
        <v>28.92</v>
      </c>
    </row>
    <row r="732" spans="2:6" hidden="1" x14ac:dyDescent="0.25">
      <c r="B732" s="21">
        <v>2445</v>
      </c>
      <c r="C732" s="43">
        <v>46191</v>
      </c>
      <c r="D732" s="43" t="s">
        <v>87</v>
      </c>
      <c r="E732" s="21" t="s">
        <v>18</v>
      </c>
      <c r="F732" s="28">
        <v>-64.5</v>
      </c>
    </row>
    <row r="733" spans="2:6" hidden="1" x14ac:dyDescent="0.25">
      <c r="B733" s="21">
        <v>31005</v>
      </c>
      <c r="C733" s="24">
        <v>46192</v>
      </c>
      <c r="D733" s="21" t="s">
        <v>205</v>
      </c>
      <c r="E733" s="21" t="s">
        <v>16</v>
      </c>
      <c r="F733" s="29">
        <v>31.93</v>
      </c>
    </row>
    <row r="734" spans="2:6" hidden="1" x14ac:dyDescent="0.25">
      <c r="B734" s="21">
        <v>9495</v>
      </c>
      <c r="C734" s="24">
        <v>46192</v>
      </c>
      <c r="D734" s="21" t="s">
        <v>202</v>
      </c>
      <c r="E734" s="21" t="s">
        <v>14</v>
      </c>
      <c r="F734" s="29">
        <v>2.65</v>
      </c>
    </row>
    <row r="735" spans="2:6" hidden="1" x14ac:dyDescent="0.25">
      <c r="B735" s="21">
        <v>9495</v>
      </c>
      <c r="C735" s="24">
        <v>46192</v>
      </c>
      <c r="D735" s="21" t="s">
        <v>82</v>
      </c>
      <c r="E735" s="21" t="s">
        <v>16</v>
      </c>
      <c r="F735" s="29">
        <v>10</v>
      </c>
    </row>
    <row r="736" spans="2:6" hidden="1" x14ac:dyDescent="0.25">
      <c r="B736" s="21">
        <v>9203</v>
      </c>
      <c r="C736" s="43">
        <v>46120</v>
      </c>
      <c r="D736" s="43" t="s">
        <v>309</v>
      </c>
      <c r="E736" s="21" t="s">
        <v>17</v>
      </c>
      <c r="F736" s="21">
        <v>40.11</v>
      </c>
    </row>
    <row r="737" spans="2:6" hidden="1" x14ac:dyDescent="0.25">
      <c r="B737" s="21">
        <v>9495</v>
      </c>
      <c r="C737" s="43">
        <v>46192</v>
      </c>
      <c r="D737" s="43" t="s">
        <v>322</v>
      </c>
      <c r="E737" s="21" t="s">
        <v>9</v>
      </c>
      <c r="F737" s="29">
        <v>14.92</v>
      </c>
    </row>
    <row r="738" spans="2:6" hidden="1" x14ac:dyDescent="0.25">
      <c r="B738" s="21">
        <v>9495</v>
      </c>
      <c r="C738" s="43">
        <v>46192</v>
      </c>
      <c r="D738" s="43" t="s">
        <v>360</v>
      </c>
      <c r="E738" s="21" t="s">
        <v>9</v>
      </c>
      <c r="F738" s="29">
        <v>6.43</v>
      </c>
    </row>
    <row r="739" spans="2:6" hidden="1" x14ac:dyDescent="0.25">
      <c r="B739" s="21">
        <v>9495</v>
      </c>
      <c r="C739" s="24">
        <v>46193</v>
      </c>
      <c r="D739" s="21" t="s">
        <v>201</v>
      </c>
      <c r="E739" s="21" t="s">
        <v>14</v>
      </c>
      <c r="F739" s="29">
        <v>10.33</v>
      </c>
    </row>
    <row r="740" spans="2:6" hidden="1" x14ac:dyDescent="0.25">
      <c r="B740" s="21">
        <v>9495</v>
      </c>
      <c r="C740" s="24">
        <v>46193</v>
      </c>
      <c r="D740" s="21" t="s">
        <v>200</v>
      </c>
      <c r="E740" s="21" t="s">
        <v>10</v>
      </c>
      <c r="F740" s="29">
        <v>88.93</v>
      </c>
    </row>
    <row r="741" spans="2:6" hidden="1" x14ac:dyDescent="0.25">
      <c r="B741" s="21">
        <v>31005</v>
      </c>
      <c r="C741" s="24">
        <v>46194</v>
      </c>
      <c r="D741" s="21" t="s">
        <v>205</v>
      </c>
      <c r="E741" s="21" t="s">
        <v>16</v>
      </c>
      <c r="F741" s="29">
        <v>66.930000000000007</v>
      </c>
    </row>
    <row r="742" spans="2:6" hidden="1" x14ac:dyDescent="0.25">
      <c r="B742" s="21">
        <v>31005</v>
      </c>
      <c r="C742" s="24">
        <v>46194</v>
      </c>
      <c r="D742" s="25" t="s">
        <v>219</v>
      </c>
      <c r="E742" s="21" t="s">
        <v>75</v>
      </c>
      <c r="F742" s="26">
        <v>82.99</v>
      </c>
    </row>
    <row r="743" spans="2:6" hidden="1" x14ac:dyDescent="0.25">
      <c r="B743" s="21" t="s">
        <v>196</v>
      </c>
      <c r="C743" s="24">
        <v>46194</v>
      </c>
      <c r="D743" s="21" t="s">
        <v>114</v>
      </c>
      <c r="E743" s="21" t="s">
        <v>13</v>
      </c>
      <c r="F743" s="33">
        <v>150</v>
      </c>
    </row>
    <row r="744" spans="2:6" hidden="1" x14ac:dyDescent="0.25">
      <c r="B744" s="21">
        <v>9203</v>
      </c>
      <c r="C744" s="24">
        <v>46194</v>
      </c>
      <c r="D744" s="21" t="s">
        <v>98</v>
      </c>
      <c r="E744" s="21" t="s">
        <v>6</v>
      </c>
      <c r="F744" s="29">
        <v>178.24</v>
      </c>
    </row>
    <row r="745" spans="2:6" hidden="1" x14ac:dyDescent="0.25">
      <c r="B745" s="21">
        <v>9495</v>
      </c>
      <c r="C745" s="43">
        <v>46194</v>
      </c>
      <c r="D745" s="43" t="s">
        <v>356</v>
      </c>
      <c r="E745" s="21" t="s">
        <v>9</v>
      </c>
      <c r="F745" s="29">
        <v>22.19</v>
      </c>
    </row>
    <row r="746" spans="2:6" hidden="1" x14ac:dyDescent="0.25">
      <c r="B746" s="21">
        <v>9495</v>
      </c>
      <c r="C746" s="43">
        <v>46194</v>
      </c>
      <c r="D746" s="43" t="s">
        <v>357</v>
      </c>
      <c r="E746" s="21" t="s">
        <v>9</v>
      </c>
      <c r="F746" s="29">
        <v>2.65</v>
      </c>
    </row>
    <row r="747" spans="2:6" hidden="1" x14ac:dyDescent="0.25">
      <c r="B747" s="21">
        <v>9495</v>
      </c>
      <c r="C747" s="43">
        <v>46194</v>
      </c>
      <c r="D747" s="43" t="s">
        <v>358</v>
      </c>
      <c r="E747" s="21" t="s">
        <v>9</v>
      </c>
      <c r="F747" s="29">
        <v>14.08</v>
      </c>
    </row>
    <row r="748" spans="2:6" hidden="1" x14ac:dyDescent="0.25">
      <c r="B748" s="21">
        <v>9495</v>
      </c>
      <c r="C748" s="43">
        <v>46194</v>
      </c>
      <c r="D748" s="43" t="s">
        <v>411</v>
      </c>
      <c r="E748" s="21" t="s">
        <v>16</v>
      </c>
      <c r="F748" s="29">
        <v>38.92</v>
      </c>
    </row>
    <row r="749" spans="2:6" hidden="1" x14ac:dyDescent="0.25">
      <c r="B749" s="21">
        <v>9495</v>
      </c>
      <c r="C749" s="43">
        <v>46194</v>
      </c>
      <c r="D749" s="43" t="s">
        <v>359</v>
      </c>
      <c r="E749" s="21" t="s">
        <v>10</v>
      </c>
      <c r="F749" s="29">
        <v>88.93</v>
      </c>
    </row>
    <row r="750" spans="2:6" hidden="1" x14ac:dyDescent="0.25">
      <c r="B750" s="21">
        <v>9495</v>
      </c>
      <c r="C750" s="43">
        <v>46194</v>
      </c>
      <c r="D750" s="43" t="s">
        <v>412</v>
      </c>
      <c r="E750" s="21" t="s">
        <v>9</v>
      </c>
      <c r="F750" s="29">
        <v>12.19</v>
      </c>
    </row>
    <row r="751" spans="2:6" hidden="1" x14ac:dyDescent="0.25">
      <c r="B751" s="21">
        <v>9203</v>
      </c>
      <c r="C751" s="24">
        <v>46195</v>
      </c>
      <c r="D751" s="21" t="s">
        <v>216</v>
      </c>
      <c r="E751" s="21" t="s">
        <v>11</v>
      </c>
      <c r="F751" s="29">
        <v>25</v>
      </c>
    </row>
    <row r="752" spans="2:6" hidden="1" x14ac:dyDescent="0.25">
      <c r="B752" s="21">
        <v>9203</v>
      </c>
      <c r="C752" s="24">
        <v>46195</v>
      </c>
      <c r="D752" s="21" t="s">
        <v>215</v>
      </c>
      <c r="E752" s="21" t="s">
        <v>13</v>
      </c>
      <c r="F752" s="29">
        <v>152.78</v>
      </c>
    </row>
    <row r="753" spans="2:6" hidden="1" x14ac:dyDescent="0.25">
      <c r="B753" s="21">
        <v>9203</v>
      </c>
      <c r="C753" s="24">
        <v>46195</v>
      </c>
      <c r="D753" s="21" t="s">
        <v>214</v>
      </c>
      <c r="E753" s="21" t="s">
        <v>9</v>
      </c>
      <c r="F753" s="28">
        <v>222.77</v>
      </c>
    </row>
    <row r="754" spans="2:6" hidden="1" x14ac:dyDescent="0.25">
      <c r="B754" s="21">
        <v>9495</v>
      </c>
      <c r="C754" s="24">
        <v>46195</v>
      </c>
      <c r="D754" s="21" t="s">
        <v>217</v>
      </c>
      <c r="E754" s="22" t="s">
        <v>44</v>
      </c>
      <c r="F754" s="29">
        <v>62.37</v>
      </c>
    </row>
    <row r="755" spans="2:6" hidden="1" x14ac:dyDescent="0.25">
      <c r="B755" s="21">
        <v>2445</v>
      </c>
      <c r="C755" s="24">
        <v>46195</v>
      </c>
      <c r="D755" s="21" t="s">
        <v>87</v>
      </c>
      <c r="E755" s="21" t="s">
        <v>18</v>
      </c>
      <c r="F755" s="28">
        <v>-64.5</v>
      </c>
    </row>
    <row r="756" spans="2:6" hidden="1" x14ac:dyDescent="0.25">
      <c r="B756" s="21">
        <v>2445</v>
      </c>
      <c r="C756" s="43">
        <v>46195</v>
      </c>
      <c r="D756" s="43" t="s">
        <v>438</v>
      </c>
      <c r="E756" s="21" t="s">
        <v>9</v>
      </c>
      <c r="F756" s="29">
        <v>150</v>
      </c>
    </row>
    <row r="757" spans="2:6" hidden="1" x14ac:dyDescent="0.25">
      <c r="B757" s="21">
        <v>9203</v>
      </c>
      <c r="C757" s="24">
        <v>46196</v>
      </c>
      <c r="D757" s="21" t="s">
        <v>85</v>
      </c>
      <c r="E757" s="21" t="s">
        <v>18</v>
      </c>
      <c r="F757" s="29">
        <v>6</v>
      </c>
    </row>
    <row r="758" spans="2:6" hidden="1" x14ac:dyDescent="0.25">
      <c r="B758" s="21">
        <v>9203</v>
      </c>
      <c r="C758" s="24">
        <v>46196</v>
      </c>
      <c r="D758" s="21" t="s">
        <v>98</v>
      </c>
      <c r="E758" s="21" t="s">
        <v>6</v>
      </c>
      <c r="F758" s="29">
        <v>7.27</v>
      </c>
    </row>
    <row r="759" spans="2:6" hidden="1" x14ac:dyDescent="0.25">
      <c r="B759" s="21">
        <v>9495</v>
      </c>
      <c r="C759" s="24">
        <v>46196</v>
      </c>
      <c r="D759" s="21" t="s">
        <v>432</v>
      </c>
      <c r="E759" s="24" t="s">
        <v>218</v>
      </c>
      <c r="F759" s="29">
        <v>-146.93</v>
      </c>
    </row>
    <row r="760" spans="2:6" hidden="1" x14ac:dyDescent="0.25">
      <c r="B760" s="21">
        <v>9495</v>
      </c>
      <c r="C760" s="24">
        <v>46196</v>
      </c>
      <c r="D760" s="21" t="s">
        <v>120</v>
      </c>
      <c r="E760" s="22" t="s">
        <v>44</v>
      </c>
      <c r="F760" s="29">
        <v>-5.64</v>
      </c>
    </row>
    <row r="761" spans="2:6" x14ac:dyDescent="0.25">
      <c r="C761" s="24"/>
      <c r="E761" s="24"/>
    </row>
    <row r="762" spans="2:6" hidden="1" x14ac:dyDescent="0.25">
      <c r="B762" s="21">
        <v>9495</v>
      </c>
      <c r="C762" s="43">
        <v>46196</v>
      </c>
      <c r="D762" s="43" t="s">
        <v>300</v>
      </c>
      <c r="E762" s="21" t="s">
        <v>44</v>
      </c>
      <c r="F762" s="29">
        <v>62.37</v>
      </c>
    </row>
    <row r="763" spans="2:6" hidden="1" x14ac:dyDescent="0.25">
      <c r="B763" s="21">
        <v>2445</v>
      </c>
      <c r="C763" s="24">
        <v>46196</v>
      </c>
      <c r="D763" s="21" t="s">
        <v>60</v>
      </c>
      <c r="E763" s="21" t="s">
        <v>44</v>
      </c>
      <c r="F763" s="26">
        <v>-146.85</v>
      </c>
    </row>
    <row r="764" spans="2:6" hidden="1" x14ac:dyDescent="0.25">
      <c r="B764" s="21">
        <v>9203</v>
      </c>
      <c r="C764" s="24">
        <v>46197</v>
      </c>
      <c r="D764" s="21" t="s">
        <v>56</v>
      </c>
      <c r="E764" s="21" t="s">
        <v>11</v>
      </c>
      <c r="F764" s="29">
        <v>5.62</v>
      </c>
    </row>
    <row r="765" spans="2:6" hidden="1" x14ac:dyDescent="0.25">
      <c r="B765" s="21">
        <v>9203</v>
      </c>
      <c r="C765" s="24">
        <v>46197</v>
      </c>
      <c r="D765" s="21" t="s">
        <v>70</v>
      </c>
      <c r="E765" s="21" t="s">
        <v>18</v>
      </c>
      <c r="F765" s="29">
        <v>32.25</v>
      </c>
    </row>
    <row r="766" spans="2:6" hidden="1" x14ac:dyDescent="0.25">
      <c r="B766" s="21">
        <v>9495</v>
      </c>
      <c r="C766" s="24">
        <v>46197</v>
      </c>
      <c r="D766" s="21" t="s">
        <v>99</v>
      </c>
      <c r="E766" s="24" t="s">
        <v>44</v>
      </c>
      <c r="F766" s="29">
        <v>4.24</v>
      </c>
    </row>
    <row r="767" spans="2:6" hidden="1" x14ac:dyDescent="0.25">
      <c r="B767" s="21">
        <v>9495</v>
      </c>
      <c r="C767" s="24">
        <v>46197</v>
      </c>
      <c r="D767" s="21" t="s">
        <v>120</v>
      </c>
      <c r="E767" s="22" t="s">
        <v>44</v>
      </c>
      <c r="F767" s="29">
        <v>6.36</v>
      </c>
    </row>
    <row r="768" spans="2:6" hidden="1" x14ac:dyDescent="0.25">
      <c r="B768" s="21">
        <v>9495</v>
      </c>
      <c r="C768" s="43">
        <v>46197</v>
      </c>
      <c r="D768" s="43" t="s">
        <v>353</v>
      </c>
      <c r="E768" s="21" t="s">
        <v>44</v>
      </c>
      <c r="F768" s="29">
        <v>4.24</v>
      </c>
    </row>
    <row r="769" spans="2:6" hidden="1" x14ac:dyDescent="0.25">
      <c r="B769" s="21">
        <v>9495</v>
      </c>
      <c r="C769" s="43">
        <v>46197</v>
      </c>
      <c r="D769" s="43" t="s">
        <v>354</v>
      </c>
      <c r="E769" s="21" t="s">
        <v>432</v>
      </c>
      <c r="F769" s="29">
        <v>-146.93</v>
      </c>
    </row>
    <row r="770" spans="2:6" hidden="1" x14ac:dyDescent="0.25">
      <c r="B770" s="21">
        <v>9495</v>
      </c>
      <c r="C770" s="43">
        <v>46197</v>
      </c>
      <c r="D770" s="43" t="s">
        <v>355</v>
      </c>
      <c r="E770" s="21" t="s">
        <v>218</v>
      </c>
      <c r="F770" s="29">
        <v>146.93</v>
      </c>
    </row>
    <row r="771" spans="2:6" hidden="1" x14ac:dyDescent="0.25">
      <c r="B771" s="21">
        <v>5676</v>
      </c>
      <c r="C771" s="43">
        <v>46197</v>
      </c>
      <c r="D771" s="43" t="s">
        <v>518</v>
      </c>
      <c r="E771" s="21" t="s">
        <v>44</v>
      </c>
      <c r="F771" s="29">
        <v>31.05</v>
      </c>
    </row>
    <row r="772" spans="2:6" hidden="1" x14ac:dyDescent="0.25">
      <c r="B772" s="21" t="s">
        <v>196</v>
      </c>
      <c r="C772" s="24">
        <v>46198</v>
      </c>
      <c r="D772" s="21" t="s">
        <v>197</v>
      </c>
      <c r="E772" s="21" t="s">
        <v>12</v>
      </c>
      <c r="F772" s="29">
        <v>-68.58</v>
      </c>
    </row>
    <row r="773" spans="2:6" hidden="1" x14ac:dyDescent="0.25">
      <c r="B773" s="21">
        <v>9203</v>
      </c>
      <c r="C773" s="24">
        <v>46198</v>
      </c>
      <c r="D773" s="21" t="s">
        <v>157</v>
      </c>
      <c r="E773" s="21" t="s">
        <v>14</v>
      </c>
      <c r="F773" s="29">
        <v>2.69</v>
      </c>
    </row>
    <row r="774" spans="2:6" hidden="1" x14ac:dyDescent="0.25">
      <c r="B774" s="21">
        <v>9203</v>
      </c>
      <c r="C774" s="24">
        <v>46198</v>
      </c>
      <c r="D774" s="21" t="s">
        <v>70</v>
      </c>
      <c r="E774" s="21" t="s">
        <v>18</v>
      </c>
      <c r="F774" s="29">
        <v>32.25</v>
      </c>
    </row>
    <row r="775" spans="2:6" hidden="1" x14ac:dyDescent="0.25">
      <c r="B775" s="21">
        <v>9495</v>
      </c>
      <c r="C775" s="43">
        <v>46198</v>
      </c>
      <c r="D775" s="43" t="s">
        <v>279</v>
      </c>
      <c r="E775" s="21" t="s">
        <v>44</v>
      </c>
      <c r="F775" s="29">
        <v>-5.64</v>
      </c>
    </row>
    <row r="776" spans="2:6" hidden="1" x14ac:dyDescent="0.25">
      <c r="B776" s="21">
        <v>9495</v>
      </c>
      <c r="C776" s="43">
        <v>46198</v>
      </c>
      <c r="D776" s="43" t="s">
        <v>279</v>
      </c>
      <c r="E776" s="21" t="s">
        <v>44</v>
      </c>
      <c r="F776" s="29">
        <v>6.36</v>
      </c>
    </row>
    <row r="777" spans="2:6" hidden="1" x14ac:dyDescent="0.25">
      <c r="B777" s="21">
        <v>2445</v>
      </c>
      <c r="C777" s="43">
        <v>46198</v>
      </c>
      <c r="D777" s="43" t="s">
        <v>436</v>
      </c>
      <c r="E777" s="21" t="s">
        <v>196</v>
      </c>
      <c r="F777" s="29">
        <v>-68.58</v>
      </c>
    </row>
    <row r="778" spans="2:6" hidden="1" x14ac:dyDescent="0.25">
      <c r="B778" s="21">
        <v>9203</v>
      </c>
      <c r="C778" s="24">
        <v>46199</v>
      </c>
      <c r="D778" s="21" t="s">
        <v>157</v>
      </c>
      <c r="E778" s="21" t="s">
        <v>14</v>
      </c>
      <c r="F778" s="28">
        <v>9.32</v>
      </c>
    </row>
    <row r="779" spans="2:6" hidden="1" x14ac:dyDescent="0.25">
      <c r="B779" s="21">
        <v>5676</v>
      </c>
      <c r="C779" s="24">
        <v>46217</v>
      </c>
      <c r="D779" s="21" t="s">
        <v>260</v>
      </c>
      <c r="E779" s="21" t="s">
        <v>27</v>
      </c>
      <c r="F779" s="29">
        <v>2996</v>
      </c>
    </row>
    <row r="780" spans="2:6" hidden="1" x14ac:dyDescent="0.25">
      <c r="B780" s="21">
        <v>9203</v>
      </c>
      <c r="C780" s="22">
        <v>46200</v>
      </c>
      <c r="D780" s="21" t="s">
        <v>107</v>
      </c>
      <c r="E780" s="21" t="s">
        <v>14</v>
      </c>
      <c r="F780" s="28">
        <v>8.44</v>
      </c>
    </row>
    <row r="781" spans="2:6" hidden="1" x14ac:dyDescent="0.25">
      <c r="B781" s="21">
        <v>9203</v>
      </c>
      <c r="C781" s="24">
        <v>46201</v>
      </c>
      <c r="D781" s="21" t="s">
        <v>224</v>
      </c>
      <c r="E781" s="21" t="s">
        <v>15</v>
      </c>
      <c r="F781" s="29">
        <v>38.51</v>
      </c>
    </row>
    <row r="782" spans="2:6" hidden="1" x14ac:dyDescent="0.25">
      <c r="B782" s="21">
        <v>9203</v>
      </c>
      <c r="C782" s="43">
        <v>46230</v>
      </c>
      <c r="D782" s="43" t="s">
        <v>535</v>
      </c>
      <c r="E782" s="21" t="s">
        <v>548</v>
      </c>
      <c r="F782" s="57">
        <f>197.78/3</f>
        <v>65.926666666666662</v>
      </c>
    </row>
    <row r="783" spans="2:6" hidden="1" x14ac:dyDescent="0.25">
      <c r="B783" s="21">
        <v>9203</v>
      </c>
      <c r="C783" s="22">
        <v>46199</v>
      </c>
      <c r="D783" s="21" t="s">
        <v>221</v>
      </c>
      <c r="E783" s="21" t="s">
        <v>17</v>
      </c>
      <c r="F783" s="29">
        <v>35</v>
      </c>
    </row>
    <row r="784" spans="2:6" x14ac:dyDescent="0.25">
      <c r="B784" s="21">
        <v>9495</v>
      </c>
      <c r="C784" s="43">
        <v>46243</v>
      </c>
      <c r="D784" s="43" t="s">
        <v>577</v>
      </c>
      <c r="E784" s="21" t="s">
        <v>17</v>
      </c>
      <c r="F784" s="57">
        <v>25.29</v>
      </c>
    </row>
    <row r="785" spans="2:6" hidden="1" x14ac:dyDescent="0.25">
      <c r="B785" s="21">
        <v>9203</v>
      </c>
      <c r="C785" s="22">
        <v>46202</v>
      </c>
      <c r="D785" s="21" t="s">
        <v>104</v>
      </c>
      <c r="E785" s="21" t="s">
        <v>75</v>
      </c>
      <c r="F785" s="29">
        <v>2.99</v>
      </c>
    </row>
    <row r="786" spans="2:6" hidden="1" x14ac:dyDescent="0.25">
      <c r="C786" s="43">
        <v>46145</v>
      </c>
      <c r="D786" s="43" t="s">
        <v>51</v>
      </c>
      <c r="E786" s="21" t="s">
        <v>17</v>
      </c>
      <c r="F786" s="29">
        <v>25</v>
      </c>
    </row>
    <row r="787" spans="2:6" hidden="1" x14ac:dyDescent="0.25">
      <c r="B787" s="21">
        <v>9203</v>
      </c>
      <c r="C787" s="43">
        <v>46230</v>
      </c>
      <c r="D787" s="43" t="s">
        <v>535</v>
      </c>
      <c r="E787" s="21" t="s">
        <v>9</v>
      </c>
      <c r="F787" s="57">
        <f>197.78/3</f>
        <v>65.926666666666662</v>
      </c>
    </row>
    <row r="788" spans="2:6" hidden="1" x14ac:dyDescent="0.25">
      <c r="B788" s="21">
        <v>9203</v>
      </c>
      <c r="C788" s="24">
        <v>46202</v>
      </c>
      <c r="D788" s="21" t="s">
        <v>104</v>
      </c>
      <c r="E788" s="21" t="s">
        <v>75</v>
      </c>
      <c r="F788" s="29">
        <v>15.93</v>
      </c>
    </row>
    <row r="789" spans="2:6" hidden="1" x14ac:dyDescent="0.25">
      <c r="B789" s="21">
        <v>9495</v>
      </c>
      <c r="C789" s="24">
        <v>46202</v>
      </c>
      <c r="D789" s="21" t="s">
        <v>120</v>
      </c>
      <c r="E789" s="22" t="s">
        <v>44</v>
      </c>
      <c r="F789" s="29">
        <v>6.36</v>
      </c>
    </row>
    <row r="790" spans="2:6" hidden="1" x14ac:dyDescent="0.25">
      <c r="B790" s="21">
        <v>2445</v>
      </c>
      <c r="C790" s="24">
        <v>46202</v>
      </c>
      <c r="D790" s="21" t="s">
        <v>60</v>
      </c>
      <c r="E790" s="21" t="s">
        <v>44</v>
      </c>
      <c r="F790" s="26">
        <v>-102.01</v>
      </c>
    </row>
    <row r="791" spans="2:6" hidden="1" x14ac:dyDescent="0.25">
      <c r="B791" s="21">
        <v>2445</v>
      </c>
      <c r="C791" s="43">
        <v>46202</v>
      </c>
      <c r="D791" s="43" t="s">
        <v>436</v>
      </c>
      <c r="E791" s="21" t="s">
        <v>196</v>
      </c>
      <c r="F791" s="29">
        <v>-8.49</v>
      </c>
    </row>
    <row r="792" spans="2:6" hidden="1" x14ac:dyDescent="0.25">
      <c r="B792" s="21">
        <v>9203</v>
      </c>
      <c r="C792" s="22">
        <v>46203</v>
      </c>
      <c r="D792" s="21" t="s">
        <v>233</v>
      </c>
      <c r="E792" s="21" t="s">
        <v>6</v>
      </c>
      <c r="F792" s="28">
        <v>16.84</v>
      </c>
    </row>
    <row r="793" spans="2:6" hidden="1" x14ac:dyDescent="0.25">
      <c r="B793" s="21">
        <v>9495</v>
      </c>
      <c r="C793" s="22">
        <v>46203</v>
      </c>
      <c r="D793" s="21" t="s">
        <v>230</v>
      </c>
      <c r="E793" s="21" t="s">
        <v>44</v>
      </c>
      <c r="F793" s="57">
        <v>4.5199999999999996</v>
      </c>
    </row>
    <row r="794" spans="2:6" hidden="1" x14ac:dyDescent="0.25">
      <c r="B794" s="21">
        <v>9495</v>
      </c>
      <c r="C794" s="24">
        <v>46203</v>
      </c>
      <c r="D794" s="21" t="s">
        <v>231</v>
      </c>
      <c r="E794" s="21" t="s">
        <v>11</v>
      </c>
      <c r="F794" s="57">
        <v>26.1</v>
      </c>
    </row>
    <row r="795" spans="2:6" hidden="1" x14ac:dyDescent="0.25">
      <c r="B795" s="21">
        <v>9495</v>
      </c>
      <c r="C795" s="24">
        <v>46203</v>
      </c>
      <c r="D795" s="21" t="s">
        <v>232</v>
      </c>
      <c r="E795" s="21" t="s">
        <v>11</v>
      </c>
      <c r="F795" s="57">
        <v>39.31</v>
      </c>
    </row>
    <row r="796" spans="2:6" hidden="1" x14ac:dyDescent="0.25">
      <c r="B796" s="21">
        <v>9495</v>
      </c>
      <c r="C796" s="43">
        <v>46203</v>
      </c>
      <c r="D796" s="43" t="s">
        <v>279</v>
      </c>
      <c r="E796" s="21" t="s">
        <v>44</v>
      </c>
      <c r="F796" s="29">
        <v>6.36</v>
      </c>
    </row>
    <row r="797" spans="2:6" hidden="1" x14ac:dyDescent="0.25">
      <c r="B797" s="21">
        <v>2445</v>
      </c>
      <c r="C797" s="43">
        <v>46203</v>
      </c>
      <c r="D797" s="43" t="s">
        <v>436</v>
      </c>
      <c r="E797" s="21" t="s">
        <v>196</v>
      </c>
      <c r="F797" s="29">
        <v>-26</v>
      </c>
    </row>
    <row r="798" spans="2:6" hidden="1" x14ac:dyDescent="0.25">
      <c r="B798" s="21">
        <v>2445</v>
      </c>
      <c r="C798" s="43">
        <v>46203</v>
      </c>
      <c r="D798" s="43" t="s">
        <v>437</v>
      </c>
      <c r="E798" s="21" t="s">
        <v>18</v>
      </c>
      <c r="F798" s="29">
        <v>-70.5</v>
      </c>
    </row>
    <row r="799" spans="2:6" hidden="1" x14ac:dyDescent="0.25">
      <c r="B799" s="21">
        <v>6549</v>
      </c>
      <c r="C799" s="43">
        <v>46222</v>
      </c>
      <c r="D799" s="21" t="s">
        <v>252</v>
      </c>
      <c r="E799" s="21" t="s">
        <v>10</v>
      </c>
      <c r="F799" s="29">
        <v>18.05</v>
      </c>
    </row>
    <row r="800" spans="2:6" hidden="1" x14ac:dyDescent="0.25">
      <c r="B800" s="21">
        <v>6549</v>
      </c>
      <c r="C800" s="43">
        <v>46222</v>
      </c>
      <c r="D800" s="21" t="s">
        <v>252</v>
      </c>
      <c r="E800" s="21" t="s">
        <v>10</v>
      </c>
      <c r="F800" s="29">
        <v>40.840000000000003</v>
      </c>
    </row>
    <row r="801" spans="2:6" hidden="1" x14ac:dyDescent="0.25">
      <c r="B801" s="21">
        <v>6549</v>
      </c>
      <c r="C801" s="43">
        <v>46223</v>
      </c>
      <c r="D801" s="43" t="s">
        <v>558</v>
      </c>
      <c r="E801" s="21" t="s">
        <v>44</v>
      </c>
      <c r="F801" s="29">
        <v>77.69</v>
      </c>
    </row>
    <row r="802" spans="2:6" hidden="1" x14ac:dyDescent="0.25">
      <c r="B802" s="21">
        <v>6549</v>
      </c>
      <c r="C802" s="43">
        <v>46212</v>
      </c>
      <c r="D802" s="43" t="s">
        <v>559</v>
      </c>
      <c r="E802" s="21" t="s">
        <v>13</v>
      </c>
      <c r="F802" s="29">
        <v>73.67</v>
      </c>
    </row>
    <row r="803" spans="2:6" hidden="1" x14ac:dyDescent="0.25">
      <c r="B803" s="21">
        <v>6549</v>
      </c>
      <c r="C803" s="43">
        <v>46223</v>
      </c>
      <c r="D803" s="43" t="s">
        <v>557</v>
      </c>
      <c r="E803" s="21" t="s">
        <v>44</v>
      </c>
      <c r="F803" s="29">
        <v>105.19</v>
      </c>
    </row>
    <row r="804" spans="2:6" hidden="1" x14ac:dyDescent="0.25">
      <c r="B804" s="21">
        <v>6549</v>
      </c>
      <c r="C804" s="31">
        <v>46213</v>
      </c>
      <c r="D804" s="21" t="s">
        <v>251</v>
      </c>
      <c r="E804" s="21" t="s">
        <v>8</v>
      </c>
      <c r="F804" s="29">
        <v>27.08</v>
      </c>
    </row>
    <row r="805" spans="2:6" hidden="1" x14ac:dyDescent="0.25">
      <c r="B805" s="21">
        <v>31005</v>
      </c>
      <c r="C805" s="43">
        <v>46204</v>
      </c>
      <c r="D805" s="43" t="s">
        <v>193</v>
      </c>
      <c r="E805" s="21" t="s">
        <v>432</v>
      </c>
      <c r="F805" s="29">
        <v>-7</v>
      </c>
    </row>
    <row r="806" spans="2:6" hidden="1" x14ac:dyDescent="0.25">
      <c r="B806" s="21">
        <v>9203</v>
      </c>
      <c r="C806" s="43">
        <v>46232</v>
      </c>
      <c r="D806" s="43" t="s">
        <v>104</v>
      </c>
      <c r="E806" s="21" t="s">
        <v>11</v>
      </c>
      <c r="F806" s="57">
        <v>15.93</v>
      </c>
    </row>
    <row r="807" spans="2:6" hidden="1" x14ac:dyDescent="0.25">
      <c r="B807" s="21">
        <v>9203</v>
      </c>
      <c r="C807" s="43">
        <v>46234</v>
      </c>
      <c r="D807" s="43" t="s">
        <v>104</v>
      </c>
      <c r="E807" s="21" t="s">
        <v>75</v>
      </c>
      <c r="F807" s="29">
        <v>2.99</v>
      </c>
    </row>
    <row r="808" spans="2:6" hidden="1" x14ac:dyDescent="0.25">
      <c r="B808" s="21">
        <v>9203</v>
      </c>
      <c r="C808" s="43">
        <v>46230</v>
      </c>
      <c r="D808" s="43" t="s">
        <v>547</v>
      </c>
      <c r="E808" s="21" t="s">
        <v>10</v>
      </c>
      <c r="F808" s="57">
        <v>30.67</v>
      </c>
    </row>
    <row r="809" spans="2:6" hidden="1" x14ac:dyDescent="0.25">
      <c r="B809" s="21">
        <v>9495</v>
      </c>
      <c r="C809" s="43">
        <v>46211</v>
      </c>
      <c r="D809" s="43" t="s">
        <v>243</v>
      </c>
      <c r="E809" s="21" t="s">
        <v>9</v>
      </c>
      <c r="F809" s="29">
        <v>7.67</v>
      </c>
    </row>
    <row r="810" spans="2:6" hidden="1" x14ac:dyDescent="0.25">
      <c r="B810" s="21">
        <v>9203</v>
      </c>
      <c r="C810" s="43">
        <v>46227</v>
      </c>
      <c r="D810" s="43" t="s">
        <v>331</v>
      </c>
      <c r="E810" s="21" t="s">
        <v>11</v>
      </c>
      <c r="F810" s="29">
        <v>25</v>
      </c>
    </row>
    <row r="811" spans="2:6" hidden="1" x14ac:dyDescent="0.25">
      <c r="B811" s="21">
        <v>9495</v>
      </c>
      <c r="C811" s="43">
        <v>46226</v>
      </c>
      <c r="D811" s="43" t="s">
        <v>549</v>
      </c>
      <c r="E811" s="21" t="s">
        <v>9</v>
      </c>
      <c r="F811" s="58">
        <v>10.95</v>
      </c>
    </row>
    <row r="812" spans="2:6" hidden="1" x14ac:dyDescent="0.25">
      <c r="B812" s="21">
        <v>5676</v>
      </c>
      <c r="C812" s="24">
        <v>46220</v>
      </c>
      <c r="D812" s="21" t="s">
        <v>261</v>
      </c>
      <c r="E812" s="21" t="s">
        <v>27</v>
      </c>
      <c r="F812" s="29">
        <v>-1112.1600000000001</v>
      </c>
    </row>
    <row r="813" spans="2:6" hidden="1" x14ac:dyDescent="0.25">
      <c r="B813" s="21">
        <v>9203</v>
      </c>
      <c r="C813" s="43">
        <v>46231</v>
      </c>
      <c r="D813" s="43" t="s">
        <v>546</v>
      </c>
      <c r="E813" s="21" t="s">
        <v>548</v>
      </c>
      <c r="F813" s="57">
        <v>21.85</v>
      </c>
    </row>
    <row r="814" spans="2:6" hidden="1" x14ac:dyDescent="0.25">
      <c r="B814" s="21">
        <v>9495</v>
      </c>
      <c r="C814" s="43">
        <v>46159</v>
      </c>
      <c r="D814" s="43" t="s">
        <v>368</v>
      </c>
      <c r="E814" s="21" t="s">
        <v>17</v>
      </c>
      <c r="F814" s="29">
        <v>6.97</v>
      </c>
    </row>
    <row r="815" spans="2:6" hidden="1" x14ac:dyDescent="0.25">
      <c r="B815" s="21">
        <v>9203</v>
      </c>
      <c r="C815" s="43">
        <v>46231</v>
      </c>
      <c r="D815" s="43" t="s">
        <v>546</v>
      </c>
      <c r="E815" s="21" t="s">
        <v>9</v>
      </c>
      <c r="F815" s="57">
        <v>19.38</v>
      </c>
    </row>
    <row r="816" spans="2:6" hidden="1" x14ac:dyDescent="0.25">
      <c r="B816" s="21">
        <v>9203</v>
      </c>
      <c r="C816" s="43">
        <v>46228</v>
      </c>
      <c r="D816" s="43" t="s">
        <v>542</v>
      </c>
      <c r="E816" s="21" t="s">
        <v>9</v>
      </c>
      <c r="F816" s="29">
        <v>21.42</v>
      </c>
    </row>
    <row r="817" spans="2:6" hidden="1" x14ac:dyDescent="0.25">
      <c r="B817" s="21">
        <v>9495</v>
      </c>
      <c r="C817" s="43">
        <v>46209</v>
      </c>
      <c r="D817" s="43" t="s">
        <v>240</v>
      </c>
      <c r="E817" s="21" t="s">
        <v>9</v>
      </c>
      <c r="F817" s="29">
        <v>7.55</v>
      </c>
    </row>
    <row r="818" spans="2:6" hidden="1" x14ac:dyDescent="0.25">
      <c r="B818" s="21">
        <v>9495</v>
      </c>
      <c r="C818" s="22">
        <v>46216</v>
      </c>
      <c r="D818" s="21" t="s">
        <v>56</v>
      </c>
      <c r="E818" s="21" t="s">
        <v>11</v>
      </c>
      <c r="F818" s="29">
        <v>27.07</v>
      </c>
    </row>
    <row r="819" spans="2:6" hidden="1" x14ac:dyDescent="0.25">
      <c r="B819" s="21">
        <v>9495</v>
      </c>
      <c r="C819" s="24">
        <v>46216</v>
      </c>
      <c r="D819" s="21" t="s">
        <v>56</v>
      </c>
      <c r="E819" s="21" t="s">
        <v>11</v>
      </c>
      <c r="F819" s="29">
        <v>41.6</v>
      </c>
    </row>
    <row r="820" spans="2:6" hidden="1" x14ac:dyDescent="0.25">
      <c r="B820" s="21">
        <v>5676</v>
      </c>
      <c r="C820" s="24">
        <v>46217</v>
      </c>
      <c r="D820" s="21" t="s">
        <v>56</v>
      </c>
      <c r="E820" s="21" t="s">
        <v>11</v>
      </c>
      <c r="F820" s="29">
        <v>14.65</v>
      </c>
    </row>
    <row r="821" spans="2:6" hidden="1" x14ac:dyDescent="0.25">
      <c r="B821" s="21">
        <v>9203</v>
      </c>
      <c r="C821" s="22">
        <v>46217</v>
      </c>
      <c r="D821" s="21" t="s">
        <v>191</v>
      </c>
      <c r="E821" s="21" t="s">
        <v>11</v>
      </c>
      <c r="F821" s="29">
        <v>5</v>
      </c>
    </row>
    <row r="822" spans="2:6" hidden="1" x14ac:dyDescent="0.25">
      <c r="B822" s="21">
        <v>9495</v>
      </c>
      <c r="C822" s="43">
        <v>46209</v>
      </c>
      <c r="D822" s="43" t="s">
        <v>347</v>
      </c>
      <c r="E822" s="21" t="s">
        <v>11</v>
      </c>
      <c r="F822" s="29">
        <v>31.86</v>
      </c>
    </row>
    <row r="823" spans="2:6" hidden="1" x14ac:dyDescent="0.25">
      <c r="B823" s="21">
        <v>9495</v>
      </c>
      <c r="C823" s="43">
        <v>46212</v>
      </c>
      <c r="D823" s="43" t="s">
        <v>242</v>
      </c>
      <c r="E823" s="21" t="s">
        <v>9</v>
      </c>
      <c r="F823" s="29">
        <v>63.06</v>
      </c>
    </row>
    <row r="824" spans="2:6" hidden="1" x14ac:dyDescent="0.25">
      <c r="B824" s="21">
        <v>9203</v>
      </c>
      <c r="C824" s="43">
        <v>46226</v>
      </c>
      <c r="D824" s="43" t="s">
        <v>157</v>
      </c>
      <c r="E824" s="21" t="s">
        <v>14</v>
      </c>
      <c r="F824" s="29">
        <v>6.36</v>
      </c>
    </row>
    <row r="825" spans="2:6" hidden="1" x14ac:dyDescent="0.25">
      <c r="B825" s="21">
        <v>9495</v>
      </c>
      <c r="C825" s="43">
        <v>46230</v>
      </c>
      <c r="D825" s="43" t="s">
        <v>157</v>
      </c>
      <c r="E825" s="21" t="s">
        <v>14</v>
      </c>
      <c r="F825" s="57">
        <v>10.3</v>
      </c>
    </row>
    <row r="826" spans="2:6" hidden="1" x14ac:dyDescent="0.25">
      <c r="B826" s="21">
        <v>9203</v>
      </c>
      <c r="C826" s="43">
        <v>46231</v>
      </c>
      <c r="D826" s="43" t="s">
        <v>157</v>
      </c>
      <c r="E826" s="21" t="s">
        <v>14</v>
      </c>
      <c r="F826" s="57">
        <v>3.85</v>
      </c>
    </row>
    <row r="827" spans="2:6" hidden="1" x14ac:dyDescent="0.25">
      <c r="B827" s="21">
        <v>9203</v>
      </c>
      <c r="C827" s="24">
        <v>46202</v>
      </c>
      <c r="D827" s="21" t="s">
        <v>169</v>
      </c>
      <c r="E827" s="21" t="s">
        <v>17</v>
      </c>
      <c r="F827" s="29">
        <v>4</v>
      </c>
    </row>
    <row r="828" spans="2:6" hidden="1" x14ac:dyDescent="0.25">
      <c r="B828" s="21">
        <v>31005</v>
      </c>
      <c r="C828" s="43">
        <v>46204</v>
      </c>
      <c r="D828" s="43" t="s">
        <v>468</v>
      </c>
      <c r="E828" s="21" t="s">
        <v>14</v>
      </c>
      <c r="F828" s="29">
        <v>10</v>
      </c>
    </row>
    <row r="829" spans="2:6" hidden="1" x14ac:dyDescent="0.25">
      <c r="B829" s="21">
        <v>9495</v>
      </c>
      <c r="C829" s="43">
        <v>46210</v>
      </c>
      <c r="D829" s="43" t="s">
        <v>344</v>
      </c>
      <c r="E829" s="21" t="s">
        <v>14</v>
      </c>
      <c r="F829" s="29">
        <v>10</v>
      </c>
    </row>
    <row r="830" spans="2:6" hidden="1" x14ac:dyDescent="0.25">
      <c r="B830" s="21">
        <v>9495</v>
      </c>
      <c r="C830" s="22">
        <v>46214</v>
      </c>
      <c r="D830" s="21" t="s">
        <v>239</v>
      </c>
      <c r="E830" s="21" t="s">
        <v>14</v>
      </c>
      <c r="F830" s="29">
        <v>25</v>
      </c>
    </row>
    <row r="831" spans="2:6" hidden="1" x14ac:dyDescent="0.25">
      <c r="B831" s="21">
        <v>2445</v>
      </c>
      <c r="C831" s="24">
        <v>46217</v>
      </c>
      <c r="D831" s="21" t="s">
        <v>60</v>
      </c>
      <c r="E831" s="21" t="s">
        <v>44</v>
      </c>
      <c r="F831" s="26">
        <v>-33.81</v>
      </c>
    </row>
    <row r="832" spans="2:6" hidden="1" x14ac:dyDescent="0.25">
      <c r="B832" s="21">
        <v>2445</v>
      </c>
      <c r="C832" s="43">
        <v>46210</v>
      </c>
      <c r="D832" s="43" t="s">
        <v>433</v>
      </c>
      <c r="E832" s="21" t="s">
        <v>44</v>
      </c>
      <c r="F832" s="29">
        <v>-15.23</v>
      </c>
    </row>
    <row r="833" spans="2:6" hidden="1" x14ac:dyDescent="0.25">
      <c r="B833" s="21">
        <v>2445</v>
      </c>
      <c r="C833" s="43">
        <v>46217</v>
      </c>
      <c r="D833" s="43" t="s">
        <v>433</v>
      </c>
      <c r="E833" s="21" t="s">
        <v>44</v>
      </c>
      <c r="F833" s="29">
        <v>-33.81</v>
      </c>
    </row>
    <row r="834" spans="2:6" hidden="1" x14ac:dyDescent="0.25">
      <c r="B834" s="21">
        <v>2445</v>
      </c>
      <c r="C834" s="24">
        <v>46224</v>
      </c>
      <c r="D834" s="21" t="s">
        <v>433</v>
      </c>
      <c r="E834" s="21" t="s">
        <v>44</v>
      </c>
      <c r="F834" s="29">
        <v>-210.4</v>
      </c>
    </row>
    <row r="835" spans="2:6" hidden="1" x14ac:dyDescent="0.25">
      <c r="B835" s="21">
        <v>2445</v>
      </c>
      <c r="C835" s="43">
        <v>46231</v>
      </c>
      <c r="D835" s="43" t="s">
        <v>433</v>
      </c>
      <c r="E835" s="21" t="s">
        <v>44</v>
      </c>
      <c r="F835" s="29">
        <v>-32.159999999999997</v>
      </c>
    </row>
    <row r="836" spans="2:6" hidden="1" x14ac:dyDescent="0.25">
      <c r="B836" s="21">
        <v>9495</v>
      </c>
      <c r="C836" s="43">
        <v>46205</v>
      </c>
      <c r="D836" s="43" t="s">
        <v>351</v>
      </c>
      <c r="E836" s="21" t="s">
        <v>44</v>
      </c>
      <c r="F836" s="29">
        <v>4.5199999999999996</v>
      </c>
    </row>
    <row r="837" spans="2:6" hidden="1" x14ac:dyDescent="0.25">
      <c r="B837" s="21">
        <v>2445</v>
      </c>
      <c r="C837" s="43">
        <v>46204</v>
      </c>
      <c r="D837" s="43" t="s">
        <v>435</v>
      </c>
      <c r="E837" s="21" t="s">
        <v>18</v>
      </c>
      <c r="F837" s="29">
        <v>8.35</v>
      </c>
    </row>
    <row r="838" spans="2:6" hidden="1" x14ac:dyDescent="0.25">
      <c r="B838" s="21">
        <v>9203</v>
      </c>
      <c r="C838" s="43">
        <v>46229</v>
      </c>
      <c r="D838" s="43" t="s">
        <v>539</v>
      </c>
      <c r="E838" s="21" t="s">
        <v>9</v>
      </c>
      <c r="F838" s="58">
        <v>30.95</v>
      </c>
    </row>
    <row r="839" spans="2:6" hidden="1" x14ac:dyDescent="0.25">
      <c r="B839" s="21">
        <v>9203</v>
      </c>
      <c r="C839" s="43">
        <v>46229</v>
      </c>
      <c r="D839" s="43" t="s">
        <v>539</v>
      </c>
      <c r="E839" s="21" t="s">
        <v>9</v>
      </c>
      <c r="F839" s="29">
        <v>17.440000000000001</v>
      </c>
    </row>
    <row r="840" spans="2:6" hidden="1" x14ac:dyDescent="0.25">
      <c r="B840" s="21">
        <v>9203</v>
      </c>
      <c r="C840" s="43">
        <v>46229</v>
      </c>
      <c r="D840" s="43" t="s">
        <v>539</v>
      </c>
      <c r="E840" s="21" t="s">
        <v>548</v>
      </c>
      <c r="F840" s="29">
        <v>22.53</v>
      </c>
    </row>
    <row r="841" spans="2:6" hidden="1" x14ac:dyDescent="0.25">
      <c r="B841" s="21">
        <v>5676</v>
      </c>
      <c r="C841" s="43">
        <v>46234</v>
      </c>
      <c r="D841" s="43" t="s">
        <v>571</v>
      </c>
      <c r="E841" s="21" t="s">
        <v>17</v>
      </c>
      <c r="F841" s="29">
        <v>50.08</v>
      </c>
    </row>
    <row r="842" spans="2:6" hidden="1" x14ac:dyDescent="0.25">
      <c r="B842" s="21">
        <v>9495</v>
      </c>
      <c r="C842" s="43">
        <v>46226</v>
      </c>
      <c r="D842" s="43" t="s">
        <v>118</v>
      </c>
      <c r="E842" s="21" t="s">
        <v>11</v>
      </c>
      <c r="F842" s="58">
        <v>26.1</v>
      </c>
    </row>
    <row r="843" spans="2:6" hidden="1" x14ac:dyDescent="0.25">
      <c r="B843" s="21">
        <v>9203</v>
      </c>
      <c r="C843" s="43">
        <v>46228</v>
      </c>
      <c r="D843" s="43" t="s">
        <v>543</v>
      </c>
      <c r="E843" s="21" t="s">
        <v>9</v>
      </c>
      <c r="F843" s="29">
        <f>51.45/2</f>
        <v>25.725000000000001</v>
      </c>
    </row>
    <row r="844" spans="2:6" hidden="1" x14ac:dyDescent="0.25">
      <c r="B844" s="21">
        <v>9203</v>
      </c>
      <c r="C844" s="43">
        <v>46228</v>
      </c>
      <c r="D844" s="43" t="s">
        <v>543</v>
      </c>
      <c r="E844" s="21" t="s">
        <v>548</v>
      </c>
      <c r="F844" s="29">
        <f>51.45/2</f>
        <v>25.725000000000001</v>
      </c>
    </row>
    <row r="845" spans="2:6" hidden="1" x14ac:dyDescent="0.25">
      <c r="B845" s="21">
        <v>5676</v>
      </c>
      <c r="C845" s="43">
        <v>46232</v>
      </c>
      <c r="D845" s="43" t="s">
        <v>569</v>
      </c>
      <c r="E845" s="21" t="s">
        <v>27</v>
      </c>
      <c r="F845" s="29">
        <f>351.15/2</f>
        <v>175.57499999999999</v>
      </c>
    </row>
    <row r="846" spans="2:6" hidden="1" x14ac:dyDescent="0.25">
      <c r="B846" s="21">
        <v>5676</v>
      </c>
      <c r="C846" s="43">
        <v>46232</v>
      </c>
      <c r="D846" s="43" t="s">
        <v>569</v>
      </c>
      <c r="E846" s="21" t="s">
        <v>548</v>
      </c>
      <c r="F846" s="29">
        <f>351.15/2</f>
        <v>175.57499999999999</v>
      </c>
    </row>
    <row r="847" spans="2:6" hidden="1" x14ac:dyDescent="0.25">
      <c r="B847" s="21">
        <v>5676</v>
      </c>
      <c r="C847" s="43">
        <v>46224</v>
      </c>
      <c r="D847" s="43" t="s">
        <v>30</v>
      </c>
      <c r="E847" s="21" t="s">
        <v>8</v>
      </c>
      <c r="F847" s="29">
        <v>47.7</v>
      </c>
    </row>
    <row r="848" spans="2:6" hidden="1" x14ac:dyDescent="0.25">
      <c r="B848" s="21">
        <v>5676</v>
      </c>
      <c r="C848" s="43">
        <v>46234</v>
      </c>
      <c r="D848" s="43" t="s">
        <v>85</v>
      </c>
      <c r="E848" s="21" t="s">
        <v>18</v>
      </c>
      <c r="F848" s="29">
        <v>7</v>
      </c>
    </row>
    <row r="849" spans="2:6" hidden="1" x14ac:dyDescent="0.25">
      <c r="B849" s="21">
        <v>9495</v>
      </c>
      <c r="C849" s="43">
        <v>46208</v>
      </c>
      <c r="D849" s="43" t="s">
        <v>350</v>
      </c>
      <c r="E849" s="21" t="s">
        <v>9</v>
      </c>
      <c r="F849" s="29">
        <v>17.05</v>
      </c>
    </row>
    <row r="850" spans="2:6" hidden="1" x14ac:dyDescent="0.25">
      <c r="B850" s="21">
        <v>5676</v>
      </c>
      <c r="C850" s="24">
        <v>46220</v>
      </c>
      <c r="D850" s="21" t="s">
        <v>262</v>
      </c>
      <c r="E850" s="21" t="s">
        <v>263</v>
      </c>
      <c r="F850" s="29">
        <v>25</v>
      </c>
    </row>
    <row r="851" spans="2:6" hidden="1" x14ac:dyDescent="0.25">
      <c r="B851" s="21">
        <v>9203</v>
      </c>
      <c r="C851" s="43">
        <v>46229</v>
      </c>
      <c r="D851" s="43" t="s">
        <v>540</v>
      </c>
      <c r="E851" s="21" t="s">
        <v>10</v>
      </c>
      <c r="F851" s="58">
        <v>4.7699999999999996</v>
      </c>
    </row>
    <row r="852" spans="2:6" hidden="1" x14ac:dyDescent="0.25">
      <c r="B852" s="21">
        <v>9495</v>
      </c>
      <c r="C852" s="24">
        <v>46220</v>
      </c>
      <c r="D852" s="21" t="s">
        <v>82</v>
      </c>
      <c r="E852" s="21" t="s">
        <v>16</v>
      </c>
      <c r="F852" s="29">
        <v>28.42</v>
      </c>
    </row>
    <row r="853" spans="2:6" hidden="1" x14ac:dyDescent="0.25">
      <c r="B853" s="21">
        <v>9495</v>
      </c>
      <c r="C853" s="43">
        <v>46215</v>
      </c>
      <c r="D853" s="43" t="s">
        <v>339</v>
      </c>
      <c r="E853" s="21" t="s">
        <v>12</v>
      </c>
      <c r="F853" s="29">
        <v>55</v>
      </c>
    </row>
    <row r="854" spans="2:6" hidden="1" x14ac:dyDescent="0.25">
      <c r="B854" s="21">
        <v>5676</v>
      </c>
      <c r="C854" s="24">
        <v>46216</v>
      </c>
      <c r="D854" s="21" t="s">
        <v>98</v>
      </c>
      <c r="E854" s="21" t="s">
        <v>6</v>
      </c>
      <c r="F854" s="29">
        <v>162.77000000000001</v>
      </c>
    </row>
    <row r="855" spans="2:6" hidden="1" x14ac:dyDescent="0.25">
      <c r="B855" s="21">
        <v>9203</v>
      </c>
      <c r="C855" s="43">
        <v>46227</v>
      </c>
      <c r="D855" s="43" t="s">
        <v>98</v>
      </c>
      <c r="E855" s="21" t="s">
        <v>6</v>
      </c>
      <c r="F855" s="29">
        <v>78.67</v>
      </c>
    </row>
    <row r="856" spans="2:6" hidden="1" x14ac:dyDescent="0.25">
      <c r="B856" s="21">
        <v>9203</v>
      </c>
      <c r="C856" s="22">
        <v>46202</v>
      </c>
      <c r="D856" s="21" t="s">
        <v>169</v>
      </c>
      <c r="E856" s="21" t="s">
        <v>17</v>
      </c>
      <c r="F856" s="29">
        <v>4</v>
      </c>
    </row>
    <row r="857" spans="2:6" hidden="1" x14ac:dyDescent="0.25">
      <c r="B857" s="21">
        <v>9495</v>
      </c>
      <c r="C857" s="43">
        <v>46212</v>
      </c>
      <c r="D857" s="43" t="s">
        <v>340</v>
      </c>
      <c r="E857" s="21" t="s">
        <v>6</v>
      </c>
      <c r="F857" s="29">
        <v>155.86000000000001</v>
      </c>
    </row>
    <row r="858" spans="2:6" hidden="1" x14ac:dyDescent="0.25">
      <c r="B858" s="21">
        <v>9495</v>
      </c>
      <c r="C858" s="43">
        <v>46210</v>
      </c>
      <c r="D858" s="43" t="s">
        <v>343</v>
      </c>
      <c r="E858" s="21" t="s">
        <v>10</v>
      </c>
      <c r="F858" s="29">
        <v>233.45</v>
      </c>
    </row>
    <row r="859" spans="2:6" hidden="1" x14ac:dyDescent="0.25">
      <c r="B859" s="21">
        <v>5676</v>
      </c>
      <c r="C859" s="43">
        <v>46212</v>
      </c>
      <c r="D859" s="43" t="s">
        <v>400</v>
      </c>
      <c r="E859" s="21" t="s">
        <v>18</v>
      </c>
      <c r="F859" s="29">
        <v>9</v>
      </c>
    </row>
    <row r="860" spans="2:6" hidden="1" x14ac:dyDescent="0.25">
      <c r="B860" s="21">
        <v>9203</v>
      </c>
      <c r="C860" s="43">
        <v>46227</v>
      </c>
      <c r="D860" s="43" t="s">
        <v>545</v>
      </c>
      <c r="E860" s="21" t="s">
        <v>18</v>
      </c>
      <c r="F860" s="29">
        <v>32.25</v>
      </c>
    </row>
    <row r="861" spans="2:6" hidden="1" x14ac:dyDescent="0.25">
      <c r="B861" s="21">
        <v>9203</v>
      </c>
      <c r="C861" s="43">
        <v>46232</v>
      </c>
      <c r="D861" s="43" t="s">
        <v>545</v>
      </c>
      <c r="E861" s="21" t="s">
        <v>18</v>
      </c>
      <c r="F861" s="29">
        <v>32.25</v>
      </c>
    </row>
    <row r="862" spans="2:6" hidden="1" x14ac:dyDescent="0.25">
      <c r="B862" s="21">
        <v>9203</v>
      </c>
      <c r="C862" s="43">
        <v>46234</v>
      </c>
      <c r="D862" s="43" t="s">
        <v>545</v>
      </c>
      <c r="E862" s="21" t="s">
        <v>18</v>
      </c>
      <c r="F862" s="57">
        <v>32.25</v>
      </c>
    </row>
    <row r="863" spans="2:6" x14ac:dyDescent="0.25">
      <c r="C863" s="24"/>
    </row>
    <row r="864" spans="2:6" hidden="1" x14ac:dyDescent="0.25">
      <c r="B864" s="21">
        <v>9203</v>
      </c>
      <c r="C864" s="43">
        <v>46219</v>
      </c>
      <c r="D864" s="43" t="s">
        <v>70</v>
      </c>
      <c r="E864" s="21" t="s">
        <v>18</v>
      </c>
      <c r="F864" s="29">
        <v>32.25</v>
      </c>
    </row>
    <row r="865" spans="2:6" hidden="1" x14ac:dyDescent="0.25">
      <c r="B865" s="21">
        <v>9203</v>
      </c>
      <c r="C865" s="43">
        <v>46223</v>
      </c>
      <c r="D865" s="43" t="s">
        <v>70</v>
      </c>
      <c r="E865" s="21" t="s">
        <v>18</v>
      </c>
      <c r="F865" s="29">
        <v>32.25</v>
      </c>
    </row>
    <row r="866" spans="2:6" hidden="1" x14ac:dyDescent="0.25">
      <c r="B866" s="21">
        <v>9203</v>
      </c>
      <c r="C866" s="27">
        <v>46224</v>
      </c>
      <c r="D866" s="43" t="s">
        <v>70</v>
      </c>
      <c r="E866" s="21" t="s">
        <v>18</v>
      </c>
      <c r="F866" s="57">
        <v>32.25</v>
      </c>
    </row>
    <row r="867" spans="2:6" hidden="1" x14ac:dyDescent="0.25">
      <c r="B867" s="21">
        <v>9203</v>
      </c>
      <c r="C867" s="43">
        <v>46225</v>
      </c>
      <c r="D867" s="43" t="s">
        <v>70</v>
      </c>
      <c r="E867" s="21" t="s">
        <v>18</v>
      </c>
      <c r="F867" s="57">
        <v>31.5</v>
      </c>
    </row>
    <row r="868" spans="2:6" hidden="1" x14ac:dyDescent="0.25">
      <c r="B868" s="21">
        <v>9495</v>
      </c>
      <c r="C868" s="43">
        <v>46215</v>
      </c>
      <c r="D868" s="43" t="s">
        <v>246</v>
      </c>
      <c r="E868" s="21" t="s">
        <v>9</v>
      </c>
      <c r="F868" s="29">
        <v>5.75</v>
      </c>
    </row>
    <row r="869" spans="2:6" hidden="1" x14ac:dyDescent="0.25">
      <c r="B869" s="21">
        <v>2445</v>
      </c>
      <c r="C869" s="24">
        <v>46216</v>
      </c>
      <c r="D869" s="21" t="s">
        <v>87</v>
      </c>
      <c r="E869" s="21" t="s">
        <v>18</v>
      </c>
      <c r="F869" s="28">
        <v>-7</v>
      </c>
    </row>
    <row r="870" spans="2:6" hidden="1" x14ac:dyDescent="0.25">
      <c r="B870" s="21">
        <v>2445</v>
      </c>
      <c r="C870" s="24">
        <v>46217</v>
      </c>
      <c r="D870" s="21" t="s">
        <v>87</v>
      </c>
      <c r="E870" s="21" t="s">
        <v>18</v>
      </c>
      <c r="F870" s="28">
        <v>-64.5</v>
      </c>
    </row>
    <row r="871" spans="2:6" hidden="1" x14ac:dyDescent="0.25">
      <c r="B871" s="21">
        <v>2445</v>
      </c>
      <c r="C871" s="43">
        <v>46226</v>
      </c>
      <c r="D871" s="43" t="s">
        <v>87</v>
      </c>
      <c r="E871" s="21" t="s">
        <v>18</v>
      </c>
      <c r="F871" s="28">
        <v>-43.74</v>
      </c>
    </row>
    <row r="872" spans="2:6" hidden="1" x14ac:dyDescent="0.25">
      <c r="B872" s="21">
        <v>2445</v>
      </c>
      <c r="C872" s="43">
        <v>46230</v>
      </c>
      <c r="D872" s="43" t="s">
        <v>87</v>
      </c>
      <c r="E872" s="21" t="s">
        <v>18</v>
      </c>
      <c r="F872" s="28">
        <v>-64.5</v>
      </c>
    </row>
    <row r="873" spans="2:6" hidden="1" x14ac:dyDescent="0.25">
      <c r="B873" s="21">
        <v>2445</v>
      </c>
      <c r="C873" s="43">
        <v>46234</v>
      </c>
      <c r="D873" s="43" t="s">
        <v>87</v>
      </c>
      <c r="E873" s="21" t="s">
        <v>18</v>
      </c>
      <c r="F873" s="29">
        <v>63.5</v>
      </c>
    </row>
    <row r="874" spans="2:6" hidden="1" x14ac:dyDescent="0.25">
      <c r="B874" s="21">
        <v>9495</v>
      </c>
      <c r="C874" s="43">
        <v>46212</v>
      </c>
      <c r="D874" s="43" t="s">
        <v>244</v>
      </c>
      <c r="E874" s="21" t="s">
        <v>9</v>
      </c>
      <c r="F874" s="29">
        <v>37.06</v>
      </c>
    </row>
    <row r="875" spans="2:6" hidden="1" x14ac:dyDescent="0.25">
      <c r="B875" s="21">
        <v>9495</v>
      </c>
      <c r="C875" s="43">
        <v>46227</v>
      </c>
      <c r="D875" s="43" t="s">
        <v>99</v>
      </c>
      <c r="E875" s="21" t="s">
        <v>44</v>
      </c>
      <c r="F875" s="58">
        <v>4.24</v>
      </c>
    </row>
    <row r="876" spans="2:6" hidden="1" x14ac:dyDescent="0.25">
      <c r="B876" s="21">
        <v>9495</v>
      </c>
      <c r="C876" s="43">
        <v>46212</v>
      </c>
      <c r="D876" s="43" t="s">
        <v>315</v>
      </c>
      <c r="E876" s="21" t="s">
        <v>10</v>
      </c>
      <c r="F876" s="29">
        <v>98</v>
      </c>
    </row>
    <row r="877" spans="2:6" hidden="1" x14ac:dyDescent="0.25">
      <c r="B877" s="21">
        <v>9495</v>
      </c>
      <c r="C877" s="43">
        <v>46215</v>
      </c>
      <c r="D877" s="43" t="s">
        <v>315</v>
      </c>
      <c r="E877" s="21" t="s">
        <v>10</v>
      </c>
      <c r="F877" s="29">
        <v>-98</v>
      </c>
    </row>
    <row r="878" spans="2:6" hidden="1" x14ac:dyDescent="0.25">
      <c r="B878" s="21">
        <v>5676</v>
      </c>
      <c r="C878" s="43">
        <v>46223</v>
      </c>
      <c r="D878" s="43" t="s">
        <v>176</v>
      </c>
      <c r="E878" s="21" t="s">
        <v>10</v>
      </c>
      <c r="F878" s="29">
        <v>11.42</v>
      </c>
    </row>
    <row r="879" spans="2:6" hidden="1" x14ac:dyDescent="0.25">
      <c r="B879" s="21">
        <v>2445</v>
      </c>
      <c r="C879" s="43">
        <v>46233</v>
      </c>
      <c r="D879" s="43" t="s">
        <v>560</v>
      </c>
      <c r="E879" s="21" t="s">
        <v>27</v>
      </c>
      <c r="F879" s="29">
        <v>184.23</v>
      </c>
    </row>
    <row r="880" spans="2:6" hidden="1" x14ac:dyDescent="0.25">
      <c r="B880" s="21">
        <v>2445</v>
      </c>
      <c r="C880" s="43">
        <v>46232</v>
      </c>
      <c r="D880" s="43" t="s">
        <v>560</v>
      </c>
      <c r="E880" s="21" t="s">
        <v>548</v>
      </c>
      <c r="F880" s="29">
        <v>372.16</v>
      </c>
    </row>
    <row r="881" spans="2:6" hidden="1" x14ac:dyDescent="0.25">
      <c r="B881" s="21">
        <v>9495</v>
      </c>
      <c r="C881" s="24">
        <v>46214</v>
      </c>
      <c r="D881" s="21" t="s">
        <v>271</v>
      </c>
      <c r="E881" s="21" t="s">
        <v>27</v>
      </c>
      <c r="F881" s="29">
        <v>-161.07</v>
      </c>
    </row>
    <row r="882" spans="2:6" hidden="1" x14ac:dyDescent="0.25">
      <c r="B882" s="21">
        <v>9495</v>
      </c>
      <c r="C882" s="24">
        <v>46214</v>
      </c>
      <c r="D882" s="21" t="s">
        <v>271</v>
      </c>
      <c r="E882" s="21" t="s">
        <v>27</v>
      </c>
      <c r="F882" s="29">
        <v>-142.91</v>
      </c>
    </row>
    <row r="883" spans="2:6" hidden="1" x14ac:dyDescent="0.25">
      <c r="B883" s="21">
        <v>9203</v>
      </c>
      <c r="C883" s="43">
        <v>46222</v>
      </c>
      <c r="D883" s="43" t="s">
        <v>116</v>
      </c>
      <c r="E883" s="21" t="s">
        <v>75</v>
      </c>
      <c r="F883" s="29">
        <v>3.99</v>
      </c>
    </row>
    <row r="884" spans="2:6" hidden="1" x14ac:dyDescent="0.25">
      <c r="B884" s="21">
        <v>9495</v>
      </c>
      <c r="C884" s="43">
        <v>46208</v>
      </c>
      <c r="D884" s="43" t="s">
        <v>349</v>
      </c>
      <c r="E884" s="21" t="s">
        <v>13</v>
      </c>
      <c r="F884" s="29">
        <v>29.4</v>
      </c>
    </row>
    <row r="885" spans="2:6" hidden="1" x14ac:dyDescent="0.25">
      <c r="B885" s="21">
        <v>9203</v>
      </c>
      <c r="C885" s="43">
        <v>46224</v>
      </c>
      <c r="D885" s="43" t="s">
        <v>64</v>
      </c>
      <c r="E885" s="21" t="s">
        <v>13</v>
      </c>
      <c r="F885" s="29">
        <v>12.74</v>
      </c>
    </row>
    <row r="886" spans="2:6" hidden="1" x14ac:dyDescent="0.25">
      <c r="B886" s="21">
        <v>9203</v>
      </c>
      <c r="C886" s="43">
        <v>46226</v>
      </c>
      <c r="D886" s="43" t="s">
        <v>373</v>
      </c>
      <c r="E886" s="21" t="s">
        <v>18</v>
      </c>
      <c r="F886" s="29">
        <v>30</v>
      </c>
    </row>
    <row r="887" spans="2:6" hidden="1" x14ac:dyDescent="0.25">
      <c r="B887" s="21">
        <v>9203</v>
      </c>
      <c r="C887" s="22">
        <v>46202</v>
      </c>
      <c r="D887" s="21" t="s">
        <v>222</v>
      </c>
      <c r="E887" s="21" t="s">
        <v>17</v>
      </c>
      <c r="F887" s="29">
        <v>1</v>
      </c>
    </row>
    <row r="888" spans="2:6" hidden="1" x14ac:dyDescent="0.25">
      <c r="B888" s="21">
        <v>9495</v>
      </c>
      <c r="C888" s="43">
        <v>46204</v>
      </c>
      <c r="D888" s="43" t="s">
        <v>352</v>
      </c>
      <c r="E888" s="21" t="s">
        <v>10</v>
      </c>
      <c r="F888" s="29">
        <v>39.31</v>
      </c>
    </row>
    <row r="889" spans="2:6" hidden="1" x14ac:dyDescent="0.25">
      <c r="B889" s="21">
        <v>9495</v>
      </c>
      <c r="C889" s="43">
        <v>46209</v>
      </c>
      <c r="D889" s="43" t="s">
        <v>348</v>
      </c>
      <c r="E889" s="21" t="s">
        <v>13</v>
      </c>
      <c r="F889" s="29">
        <v>41</v>
      </c>
    </row>
    <row r="890" spans="2:6" hidden="1" x14ac:dyDescent="0.25">
      <c r="B890" s="21">
        <v>5676</v>
      </c>
      <c r="C890" s="24">
        <v>46220</v>
      </c>
      <c r="D890" s="21" t="s">
        <v>247</v>
      </c>
      <c r="E890" s="21" t="s">
        <v>17</v>
      </c>
      <c r="F890" s="29">
        <v>35.549999999999997</v>
      </c>
    </row>
    <row r="891" spans="2:6" hidden="1" x14ac:dyDescent="0.25">
      <c r="B891" s="21">
        <v>9495</v>
      </c>
      <c r="C891" s="43">
        <v>46213</v>
      </c>
      <c r="D891" s="43" t="s">
        <v>278</v>
      </c>
      <c r="E891" s="21" t="s">
        <v>17</v>
      </c>
      <c r="F891" s="29">
        <v>46.16</v>
      </c>
    </row>
    <row r="892" spans="2:6" hidden="1" x14ac:dyDescent="0.25">
      <c r="B892" s="21">
        <v>9495</v>
      </c>
      <c r="C892" s="24">
        <v>46218</v>
      </c>
      <c r="D892" s="21" t="s">
        <v>76</v>
      </c>
      <c r="E892" s="21" t="s">
        <v>75</v>
      </c>
      <c r="F892" s="29">
        <v>18.989999999999998</v>
      </c>
    </row>
    <row r="893" spans="2:6" hidden="1" x14ac:dyDescent="0.25">
      <c r="B893" s="21">
        <v>9495</v>
      </c>
      <c r="C893" s="43">
        <v>46204</v>
      </c>
      <c r="D893" s="43" t="s">
        <v>63</v>
      </c>
      <c r="E893" s="21" t="s">
        <v>11</v>
      </c>
      <c r="F893" s="29">
        <v>26.1</v>
      </c>
    </row>
    <row r="894" spans="2:6" hidden="1" x14ac:dyDescent="0.25">
      <c r="B894" s="21">
        <v>9495</v>
      </c>
      <c r="C894" s="43">
        <v>46215</v>
      </c>
      <c r="D894" s="43" t="s">
        <v>312</v>
      </c>
      <c r="E894" s="21" t="s">
        <v>6</v>
      </c>
      <c r="F894" s="29">
        <v>16.96</v>
      </c>
    </row>
    <row r="895" spans="2:6" hidden="1" x14ac:dyDescent="0.25">
      <c r="B895" s="21">
        <v>9495</v>
      </c>
      <c r="C895" s="43">
        <v>46210</v>
      </c>
      <c r="D895" s="43" t="s">
        <v>346</v>
      </c>
      <c r="E895" s="21" t="s">
        <v>6</v>
      </c>
      <c r="F895" s="29">
        <v>13.59</v>
      </c>
    </row>
    <row r="896" spans="2:6" hidden="1" x14ac:dyDescent="0.25">
      <c r="B896" s="21">
        <v>9495</v>
      </c>
      <c r="C896" s="43">
        <v>46210</v>
      </c>
      <c r="D896" s="43" t="s">
        <v>345</v>
      </c>
      <c r="E896" s="21" t="s">
        <v>17</v>
      </c>
      <c r="F896" s="29">
        <v>25</v>
      </c>
    </row>
    <row r="897" spans="2:6" hidden="1" x14ac:dyDescent="0.25">
      <c r="B897" s="21">
        <v>9203</v>
      </c>
      <c r="C897" s="43">
        <v>46228</v>
      </c>
      <c r="D897" s="43" t="s">
        <v>74</v>
      </c>
      <c r="E897" s="21" t="s">
        <v>17</v>
      </c>
      <c r="F897" s="29">
        <v>37.119999999999997</v>
      </c>
    </row>
    <row r="898" spans="2:6" hidden="1" x14ac:dyDescent="0.25">
      <c r="B898" s="21">
        <v>5676</v>
      </c>
      <c r="C898" s="24">
        <v>46220</v>
      </c>
      <c r="D898" s="21" t="s">
        <v>249</v>
      </c>
      <c r="E898" s="21" t="s">
        <v>9</v>
      </c>
      <c r="F898" s="29">
        <v>17.12</v>
      </c>
    </row>
    <row r="899" spans="2:6" hidden="1" x14ac:dyDescent="0.25">
      <c r="B899" s="21">
        <v>9495</v>
      </c>
      <c r="C899" s="24">
        <v>46220</v>
      </c>
      <c r="D899" s="21" t="s">
        <v>249</v>
      </c>
      <c r="E899" s="21" t="s">
        <v>12</v>
      </c>
      <c r="F899" s="29">
        <v>15.91</v>
      </c>
    </row>
    <row r="900" spans="2:6" hidden="1" x14ac:dyDescent="0.25">
      <c r="B900" s="21">
        <v>9495</v>
      </c>
      <c r="C900" s="24">
        <v>46220</v>
      </c>
      <c r="D900" s="21" t="s">
        <v>249</v>
      </c>
      <c r="E900" s="21" t="s">
        <v>12</v>
      </c>
      <c r="F900" s="29">
        <v>15.98</v>
      </c>
    </row>
    <row r="901" spans="2:6" hidden="1" x14ac:dyDescent="0.25">
      <c r="B901" s="21">
        <v>9495</v>
      </c>
      <c r="C901" s="24">
        <v>46220</v>
      </c>
      <c r="D901" s="21" t="s">
        <v>249</v>
      </c>
      <c r="E901" s="21" t="s">
        <v>12</v>
      </c>
      <c r="F901" s="29">
        <v>15.98</v>
      </c>
    </row>
    <row r="902" spans="2:6" hidden="1" x14ac:dyDescent="0.25">
      <c r="B902" s="21">
        <v>5676</v>
      </c>
      <c r="C902" s="43">
        <v>46221</v>
      </c>
      <c r="D902" s="43" t="s">
        <v>249</v>
      </c>
      <c r="E902" s="21" t="s">
        <v>12</v>
      </c>
      <c r="F902" s="21">
        <v>17.12</v>
      </c>
    </row>
    <row r="903" spans="2:6" hidden="1" x14ac:dyDescent="0.25">
      <c r="B903" s="21">
        <v>5676</v>
      </c>
      <c r="C903" s="24">
        <v>46216</v>
      </c>
      <c r="D903" s="21" t="s">
        <v>259</v>
      </c>
      <c r="E903" s="21" t="s">
        <v>10</v>
      </c>
      <c r="F903" s="29">
        <v>12.75</v>
      </c>
    </row>
    <row r="904" spans="2:6" x14ac:dyDescent="0.25">
      <c r="C904" s="43"/>
      <c r="D904" s="43"/>
      <c r="F904" s="57"/>
    </row>
    <row r="905" spans="2:6" hidden="1" x14ac:dyDescent="0.25">
      <c r="B905" s="21">
        <v>9495</v>
      </c>
      <c r="C905" s="43">
        <v>46211</v>
      </c>
      <c r="D905" s="43" t="s">
        <v>342</v>
      </c>
      <c r="E905" s="21" t="s">
        <v>9</v>
      </c>
      <c r="F905" s="29">
        <v>22.36</v>
      </c>
    </row>
    <row r="906" spans="2:6" hidden="1" x14ac:dyDescent="0.25">
      <c r="B906" s="21">
        <v>9495</v>
      </c>
      <c r="C906" s="43">
        <v>46211</v>
      </c>
      <c r="D906" s="43" t="s">
        <v>341</v>
      </c>
      <c r="E906" s="21" t="s">
        <v>9</v>
      </c>
      <c r="F906" s="29">
        <v>23.22</v>
      </c>
    </row>
    <row r="907" spans="2:6" hidden="1" x14ac:dyDescent="0.25">
      <c r="B907" s="21">
        <v>9203</v>
      </c>
      <c r="C907" s="43">
        <v>46229</v>
      </c>
      <c r="D907" s="43" t="s">
        <v>536</v>
      </c>
      <c r="E907" s="21" t="s">
        <v>548</v>
      </c>
      <c r="F907" s="29" t="s">
        <v>537</v>
      </c>
    </row>
    <row r="908" spans="2:6" hidden="1" x14ac:dyDescent="0.25">
      <c r="B908" s="21">
        <v>9203</v>
      </c>
      <c r="C908" s="43">
        <v>46229</v>
      </c>
      <c r="D908" s="43" t="s">
        <v>536</v>
      </c>
      <c r="E908" s="21" t="s">
        <v>9</v>
      </c>
      <c r="F908" s="29" t="s">
        <v>538</v>
      </c>
    </row>
    <row r="909" spans="2:6" hidden="1" x14ac:dyDescent="0.25">
      <c r="B909" s="21">
        <v>5676</v>
      </c>
      <c r="C909" s="43">
        <v>46225</v>
      </c>
      <c r="D909" s="43" t="s">
        <v>512</v>
      </c>
      <c r="E909" s="21" t="s">
        <v>11</v>
      </c>
      <c r="F909" s="29">
        <v>78.63</v>
      </c>
    </row>
    <row r="910" spans="2:6" hidden="1" x14ac:dyDescent="0.25">
      <c r="B910" s="21">
        <v>9495</v>
      </c>
      <c r="C910" s="43">
        <v>46205</v>
      </c>
      <c r="D910" s="43" t="s">
        <v>279</v>
      </c>
      <c r="E910" s="21" t="s">
        <v>44</v>
      </c>
      <c r="F910" s="29">
        <v>6.44</v>
      </c>
    </row>
    <row r="911" spans="2:6" hidden="1" x14ac:dyDescent="0.25">
      <c r="B911" s="21">
        <v>2445</v>
      </c>
      <c r="C911" s="43">
        <v>46233</v>
      </c>
      <c r="D911" s="43" t="s">
        <v>568</v>
      </c>
      <c r="E911" s="21" t="s">
        <v>9</v>
      </c>
      <c r="F911" s="29">
        <v>57.15</v>
      </c>
    </row>
    <row r="912" spans="2:6" hidden="1" x14ac:dyDescent="0.25">
      <c r="B912" s="21">
        <v>2445</v>
      </c>
      <c r="C912" s="43">
        <v>46210</v>
      </c>
      <c r="D912" s="21" t="s">
        <v>273</v>
      </c>
      <c r="E912" s="21" t="s">
        <v>13</v>
      </c>
      <c r="F912" s="29">
        <v>40</v>
      </c>
    </row>
    <row r="913" spans="2:6" hidden="1" x14ac:dyDescent="0.25">
      <c r="B913" s="21">
        <v>2445</v>
      </c>
      <c r="C913" s="24">
        <v>46220</v>
      </c>
      <c r="D913" s="21" t="s">
        <v>273</v>
      </c>
      <c r="E913" s="21" t="s">
        <v>13</v>
      </c>
      <c r="F913" s="29">
        <v>40</v>
      </c>
    </row>
    <row r="914" spans="2:6" hidden="1" x14ac:dyDescent="0.25">
      <c r="B914" s="21">
        <v>2445</v>
      </c>
      <c r="C914" s="24">
        <v>46218</v>
      </c>
      <c r="D914" s="21" t="s">
        <v>272</v>
      </c>
      <c r="E914" s="21" t="s">
        <v>6</v>
      </c>
      <c r="F914" s="29">
        <v>-12.35</v>
      </c>
    </row>
    <row r="915" spans="2:6" hidden="1" x14ac:dyDescent="0.25">
      <c r="B915" s="21">
        <v>2445</v>
      </c>
      <c r="C915" s="24">
        <v>46217</v>
      </c>
      <c r="D915" s="21" t="s">
        <v>562</v>
      </c>
      <c r="E915" s="21" t="s">
        <v>9</v>
      </c>
      <c r="F915" s="29">
        <v>52.97</v>
      </c>
    </row>
    <row r="916" spans="2:6" hidden="1" x14ac:dyDescent="0.25">
      <c r="B916" s="21">
        <v>2445</v>
      </c>
      <c r="C916" s="24">
        <v>46220</v>
      </c>
      <c r="D916" s="21" t="s">
        <v>562</v>
      </c>
      <c r="E916" s="21" t="s">
        <v>9</v>
      </c>
      <c r="F916" s="29">
        <v>66.25</v>
      </c>
    </row>
    <row r="917" spans="2:6" hidden="1" x14ac:dyDescent="0.25">
      <c r="B917" s="21">
        <v>2445</v>
      </c>
      <c r="C917" s="43">
        <v>46230</v>
      </c>
      <c r="D917" s="43" t="s">
        <v>561</v>
      </c>
      <c r="E917" s="21" t="s">
        <v>9</v>
      </c>
      <c r="F917" s="29">
        <v>-52.97</v>
      </c>
    </row>
    <row r="918" spans="2:6" hidden="1" x14ac:dyDescent="0.25">
      <c r="B918" s="21">
        <v>2445</v>
      </c>
      <c r="C918" s="43">
        <v>46230</v>
      </c>
      <c r="D918" s="43" t="s">
        <v>561</v>
      </c>
      <c r="E918" s="21" t="s">
        <v>9</v>
      </c>
      <c r="F918" s="29">
        <v>-36.200000000000003</v>
      </c>
    </row>
    <row r="919" spans="2:6" hidden="1" x14ac:dyDescent="0.25">
      <c r="B919" s="21">
        <v>2445</v>
      </c>
      <c r="C919" s="43">
        <v>46231</v>
      </c>
      <c r="D919" s="43" t="s">
        <v>561</v>
      </c>
      <c r="E919" s="21" t="s">
        <v>9</v>
      </c>
      <c r="F919" s="29">
        <v>-36.200000000000003</v>
      </c>
    </row>
    <row r="920" spans="2:6" hidden="1" x14ac:dyDescent="0.25">
      <c r="B920" s="21">
        <v>9203</v>
      </c>
      <c r="C920" s="43">
        <v>46228</v>
      </c>
      <c r="D920" s="43" t="s">
        <v>544</v>
      </c>
      <c r="E920" s="21" t="s">
        <v>10</v>
      </c>
      <c r="F920" s="29">
        <v>22</v>
      </c>
    </row>
    <row r="921" spans="2:6" hidden="1" x14ac:dyDescent="0.25">
      <c r="B921" s="21">
        <v>9203</v>
      </c>
      <c r="C921" s="24">
        <v>46202</v>
      </c>
      <c r="D921" s="21" t="s">
        <v>222</v>
      </c>
      <c r="E921" s="21" t="s">
        <v>17</v>
      </c>
      <c r="F921" s="29">
        <v>1</v>
      </c>
    </row>
    <row r="922" spans="2:6" hidden="1" x14ac:dyDescent="0.25">
      <c r="B922" s="21">
        <v>9203</v>
      </c>
      <c r="C922" s="43">
        <v>46228</v>
      </c>
      <c r="D922" s="43" t="s">
        <v>541</v>
      </c>
      <c r="E922" s="21" t="s">
        <v>6</v>
      </c>
      <c r="F922" s="29">
        <v>9.15</v>
      </c>
    </row>
    <row r="923" spans="2:6" x14ac:dyDescent="0.25">
      <c r="B923" s="21">
        <v>9203</v>
      </c>
      <c r="C923" s="43">
        <v>46235</v>
      </c>
      <c r="D923" s="43" t="s">
        <v>170</v>
      </c>
      <c r="E923" s="21" t="s">
        <v>13</v>
      </c>
      <c r="F923" s="57">
        <v>74.66</v>
      </c>
    </row>
    <row r="924" spans="2:6" x14ac:dyDescent="0.25">
      <c r="B924" s="21">
        <v>9495</v>
      </c>
      <c r="C924" s="43">
        <v>46235</v>
      </c>
      <c r="D924" s="43" t="s">
        <v>567</v>
      </c>
      <c r="E924" s="21" t="s">
        <v>9</v>
      </c>
      <c r="F924" s="57">
        <f>190.79-150</f>
        <v>40.789999999999992</v>
      </c>
    </row>
    <row r="925" spans="2:6" x14ac:dyDescent="0.25">
      <c r="B925" s="21">
        <v>5676</v>
      </c>
      <c r="C925" s="43">
        <v>46235</v>
      </c>
      <c r="D925" s="43" t="s">
        <v>177</v>
      </c>
      <c r="E925" s="21" t="s">
        <v>14</v>
      </c>
      <c r="F925" s="29">
        <v>3.95</v>
      </c>
    </row>
    <row r="926" spans="2:6" x14ac:dyDescent="0.25">
      <c r="B926" s="21">
        <v>9495</v>
      </c>
      <c r="C926" s="43">
        <v>46236</v>
      </c>
      <c r="D926" s="43" t="s">
        <v>120</v>
      </c>
      <c r="E926" s="21" t="s">
        <v>44</v>
      </c>
      <c r="F926" s="57">
        <v>7.3</v>
      </c>
    </row>
    <row r="927" spans="2:6" x14ac:dyDescent="0.25">
      <c r="B927" s="21">
        <v>5676</v>
      </c>
      <c r="C927" s="43">
        <v>46236</v>
      </c>
      <c r="D927" s="43" t="s">
        <v>400</v>
      </c>
      <c r="E927" s="21" t="s">
        <v>18</v>
      </c>
      <c r="F927" s="29">
        <v>3</v>
      </c>
    </row>
    <row r="928" spans="2:6" x14ac:dyDescent="0.25">
      <c r="B928" s="21">
        <v>9203</v>
      </c>
      <c r="C928" s="43">
        <v>46236</v>
      </c>
      <c r="D928" s="43" t="s">
        <v>98</v>
      </c>
      <c r="E928" s="21" t="s">
        <v>6</v>
      </c>
      <c r="F928" s="29">
        <v>118.38</v>
      </c>
    </row>
    <row r="929" spans="2:7" x14ac:dyDescent="0.25">
      <c r="B929" s="21">
        <v>9203</v>
      </c>
      <c r="C929" s="43">
        <v>46236</v>
      </c>
      <c r="D929" s="43" t="s">
        <v>147</v>
      </c>
      <c r="E929" s="21" t="s">
        <v>6</v>
      </c>
      <c r="F929" s="29">
        <v>20.9</v>
      </c>
    </row>
    <row r="930" spans="2:7" x14ac:dyDescent="0.25">
      <c r="B930" s="21">
        <v>9495</v>
      </c>
      <c r="C930" s="43">
        <v>46236</v>
      </c>
      <c r="D930" s="43" t="s">
        <v>157</v>
      </c>
      <c r="E930" s="21" t="s">
        <v>14</v>
      </c>
      <c r="F930" s="29">
        <v>7.9</v>
      </c>
      <c r="G930" s="57"/>
    </row>
    <row r="931" spans="2:7" hidden="1" x14ac:dyDescent="0.25">
      <c r="B931" s="21">
        <v>9203</v>
      </c>
      <c r="C931" s="43">
        <v>46229</v>
      </c>
      <c r="D931" s="43" t="s">
        <v>541</v>
      </c>
      <c r="E931" s="21" t="s">
        <v>6</v>
      </c>
      <c r="F931" s="29">
        <v>20.68</v>
      </c>
    </row>
    <row r="932" spans="2:7" hidden="1" x14ac:dyDescent="0.25">
      <c r="B932" s="21">
        <v>5676</v>
      </c>
      <c r="C932" s="43">
        <v>46227</v>
      </c>
      <c r="D932" s="43" t="s">
        <v>550</v>
      </c>
      <c r="E932" s="21" t="s">
        <v>9</v>
      </c>
      <c r="F932" s="29">
        <v>108.59</v>
      </c>
      <c r="G932" s="57"/>
    </row>
    <row r="933" spans="2:7" x14ac:dyDescent="0.25">
      <c r="B933" s="21">
        <v>9203</v>
      </c>
      <c r="C933" s="43">
        <v>46237</v>
      </c>
      <c r="D933" s="43" t="s">
        <v>545</v>
      </c>
      <c r="E933" s="21" t="s">
        <v>18</v>
      </c>
      <c r="F933" s="29">
        <v>32.25</v>
      </c>
    </row>
    <row r="934" spans="2:7" x14ac:dyDescent="0.25">
      <c r="B934" s="21">
        <v>9203</v>
      </c>
      <c r="C934" s="43">
        <v>46238</v>
      </c>
      <c r="D934" s="43" t="s">
        <v>545</v>
      </c>
      <c r="E934" s="21" t="s">
        <v>18</v>
      </c>
      <c r="F934" s="29">
        <v>32.25</v>
      </c>
      <c r="G934" s="57"/>
    </row>
    <row r="935" spans="2:7" x14ac:dyDescent="0.25">
      <c r="B935" s="21">
        <v>2445</v>
      </c>
      <c r="C935" s="43">
        <v>46238</v>
      </c>
      <c r="D935" s="43" t="s">
        <v>580</v>
      </c>
      <c r="E935" s="21" t="s">
        <v>18</v>
      </c>
      <c r="F935" s="29">
        <v>-32.25</v>
      </c>
    </row>
    <row r="936" spans="2:7" x14ac:dyDescent="0.25">
      <c r="B936" s="21">
        <v>2445</v>
      </c>
      <c r="C936" s="43">
        <v>46238</v>
      </c>
      <c r="D936" s="43" t="s">
        <v>433</v>
      </c>
      <c r="E936" s="21" t="s">
        <v>44</v>
      </c>
      <c r="F936" s="29">
        <v>-6.09</v>
      </c>
    </row>
    <row r="937" spans="2:7" x14ac:dyDescent="0.25">
      <c r="B937" s="21">
        <v>9203</v>
      </c>
      <c r="C937" s="43">
        <v>46239</v>
      </c>
      <c r="D937" s="43" t="s">
        <v>545</v>
      </c>
      <c r="E937" s="21" t="s">
        <v>18</v>
      </c>
      <c r="F937" s="29">
        <v>32.25</v>
      </c>
    </row>
    <row r="938" spans="2:7" x14ac:dyDescent="0.25">
      <c r="B938" s="21">
        <v>5676</v>
      </c>
      <c r="C938" s="43">
        <v>46240</v>
      </c>
      <c r="D938" s="43" t="s">
        <v>575</v>
      </c>
      <c r="E938" s="21" t="s">
        <v>14</v>
      </c>
      <c r="F938" s="29">
        <v>6.11</v>
      </c>
    </row>
    <row r="939" spans="2:7" x14ac:dyDescent="0.25">
      <c r="B939" s="21">
        <v>9495</v>
      </c>
      <c r="C939" s="43">
        <v>46240</v>
      </c>
      <c r="D939" s="43" t="s">
        <v>56</v>
      </c>
      <c r="E939" s="21" t="s">
        <v>11</v>
      </c>
      <c r="F939" s="29">
        <v>25.11</v>
      </c>
    </row>
    <row r="940" spans="2:7" x14ac:dyDescent="0.25">
      <c r="B940" s="21">
        <v>2445</v>
      </c>
      <c r="C940" s="43">
        <v>46240</v>
      </c>
      <c r="D940" s="43" t="s">
        <v>580</v>
      </c>
      <c r="E940" s="21" t="s">
        <v>18</v>
      </c>
      <c r="F940" s="29">
        <v>-39.25</v>
      </c>
    </row>
    <row r="941" spans="2:7" x14ac:dyDescent="0.25">
      <c r="B941" s="21">
        <v>5676</v>
      </c>
      <c r="C941" s="43">
        <v>46241</v>
      </c>
      <c r="D941" s="43" t="s">
        <v>199</v>
      </c>
      <c r="E941" s="21" t="s">
        <v>9</v>
      </c>
      <c r="F941" s="29">
        <v>12.41</v>
      </c>
    </row>
    <row r="942" spans="2:7" x14ac:dyDescent="0.25">
      <c r="B942" s="21">
        <v>9495</v>
      </c>
      <c r="C942" s="43">
        <v>46241</v>
      </c>
      <c r="D942" s="43" t="s">
        <v>579</v>
      </c>
      <c r="E942" s="21" t="s">
        <v>12</v>
      </c>
      <c r="F942" s="57">
        <v>40.22</v>
      </c>
    </row>
    <row r="943" spans="2:7" x14ac:dyDescent="0.25">
      <c r="B943" s="21">
        <v>2445</v>
      </c>
      <c r="C943" s="43">
        <v>46241</v>
      </c>
      <c r="D943" s="43" t="s">
        <v>580</v>
      </c>
      <c r="E943" s="21" t="s">
        <v>18</v>
      </c>
      <c r="F943" s="29">
        <v>-64.5</v>
      </c>
    </row>
    <row r="944" spans="2:7" x14ac:dyDescent="0.25">
      <c r="B944" s="21">
        <v>2445</v>
      </c>
      <c r="C944" s="43">
        <v>46241</v>
      </c>
      <c r="D944" s="43" t="s">
        <v>581</v>
      </c>
      <c r="E944" s="21" t="s">
        <v>75</v>
      </c>
      <c r="F944" s="29">
        <v>-8.49</v>
      </c>
    </row>
    <row r="945" spans="1:6" x14ac:dyDescent="0.25">
      <c r="B945" s="21">
        <v>5676</v>
      </c>
      <c r="C945" s="43">
        <v>46242</v>
      </c>
      <c r="D945" s="43" t="s">
        <v>574</v>
      </c>
      <c r="E945" s="21" t="s">
        <v>27</v>
      </c>
      <c r="F945" s="29">
        <v>205.07</v>
      </c>
    </row>
    <row r="946" spans="1:6" x14ac:dyDescent="0.25">
      <c r="B946" s="21">
        <v>9495</v>
      </c>
      <c r="C946" s="43">
        <v>46242</v>
      </c>
      <c r="D946" s="43" t="s">
        <v>157</v>
      </c>
      <c r="E946" s="21" t="s">
        <v>14</v>
      </c>
      <c r="F946" s="57">
        <v>14.09</v>
      </c>
    </row>
    <row r="947" spans="1:6" ht="15" customHeight="1" x14ac:dyDescent="0.25">
      <c r="B947" s="21">
        <v>9495</v>
      </c>
      <c r="C947" s="43">
        <v>46243</v>
      </c>
      <c r="D947" s="43" t="s">
        <v>576</v>
      </c>
      <c r="E947" s="21" t="s">
        <v>9</v>
      </c>
      <c r="F947" s="59">
        <v>65</v>
      </c>
    </row>
    <row r="948" spans="1:6" hidden="1" x14ac:dyDescent="0.25">
      <c r="B948" s="21">
        <v>9495</v>
      </c>
      <c r="C948" s="43">
        <v>46171</v>
      </c>
      <c r="D948" s="43" t="s">
        <v>366</v>
      </c>
      <c r="E948" s="21" t="s">
        <v>17</v>
      </c>
      <c r="F948" s="29">
        <v>-0.92</v>
      </c>
    </row>
    <row r="949" spans="1:6" x14ac:dyDescent="0.25">
      <c r="B949" s="21">
        <v>9495</v>
      </c>
      <c r="C949" s="43">
        <v>46243</v>
      </c>
      <c r="D949" s="43" t="s">
        <v>578</v>
      </c>
      <c r="E949" s="21" t="s">
        <v>14</v>
      </c>
      <c r="F949" s="57">
        <v>19.23</v>
      </c>
    </row>
    <row r="950" spans="1:6" x14ac:dyDescent="0.25">
      <c r="A950" s="21" t="s">
        <v>122</v>
      </c>
      <c r="C950" s="27">
        <v>46249</v>
      </c>
      <c r="D950" s="21" t="s">
        <v>127</v>
      </c>
      <c r="E950" s="21" t="s">
        <v>44</v>
      </c>
      <c r="F950" s="34">
        <v>300</v>
      </c>
    </row>
    <row r="951" spans="1:6" x14ac:dyDescent="0.25">
      <c r="A951" s="21" t="s">
        <v>122</v>
      </c>
      <c r="C951" s="27">
        <v>46266</v>
      </c>
      <c r="D951" s="21" t="s">
        <v>125</v>
      </c>
      <c r="E951" s="21" t="s">
        <v>15</v>
      </c>
      <c r="F951" s="26">
        <v>50</v>
      </c>
    </row>
    <row r="952" spans="1:6" x14ac:dyDescent="0.25">
      <c r="A952" s="21" t="s">
        <v>122</v>
      </c>
      <c r="C952" s="27">
        <v>46264</v>
      </c>
      <c r="D952" s="21" t="s">
        <v>123</v>
      </c>
      <c r="E952" s="21" t="s">
        <v>10</v>
      </c>
      <c r="F952" s="26">
        <v>100</v>
      </c>
    </row>
    <row r="953" spans="1:6" x14ac:dyDescent="0.25">
      <c r="C953" s="43">
        <v>46296</v>
      </c>
      <c r="D953" s="43"/>
    </row>
    <row r="954" spans="1:6" x14ac:dyDescent="0.25">
      <c r="C954" s="43"/>
      <c r="D954" s="43"/>
    </row>
    <row r="955" spans="1:6" x14ac:dyDescent="0.25">
      <c r="C955" s="43"/>
      <c r="D955" s="43"/>
    </row>
    <row r="956" spans="1:6" x14ac:dyDescent="0.25">
      <c r="C956" s="43"/>
      <c r="D956" s="43"/>
    </row>
    <row r="957" spans="1:6" x14ac:dyDescent="0.25">
      <c r="C957" s="43"/>
      <c r="D957" s="43"/>
    </row>
    <row r="958" spans="1:6" x14ac:dyDescent="0.25">
      <c r="C958" s="43"/>
      <c r="D958" s="43"/>
    </row>
    <row r="959" spans="1:6" x14ac:dyDescent="0.25">
      <c r="C959" s="43"/>
      <c r="D959" s="43"/>
    </row>
    <row r="960" spans="1:6" x14ac:dyDescent="0.25">
      <c r="C960" s="43"/>
      <c r="D960" s="43"/>
    </row>
    <row r="961" spans="3:6" x14ac:dyDescent="0.25">
      <c r="C961" s="43"/>
      <c r="D961" s="43"/>
      <c r="F961" s="21"/>
    </row>
    <row r="962" spans="3:6" x14ac:dyDescent="0.25">
      <c r="C962" s="43"/>
      <c r="D962" s="43"/>
      <c r="F962" s="21"/>
    </row>
    <row r="963" spans="3:6" x14ac:dyDescent="0.25">
      <c r="C963" s="43"/>
      <c r="D963" s="43"/>
      <c r="F963" s="21"/>
    </row>
    <row r="964" spans="3:6" x14ac:dyDescent="0.25">
      <c r="C964" s="43"/>
      <c r="D964" s="43"/>
      <c r="F964" s="21"/>
    </row>
    <row r="965" spans="3:6" x14ac:dyDescent="0.25">
      <c r="C965" s="43"/>
      <c r="D965" s="43"/>
      <c r="F965" s="21"/>
    </row>
  </sheetData>
  <phoneticPr fontId="19" type="noConversion"/>
  <pageMargins left="0.7" right="0.7" top="0.75" bottom="0.75" header="0.3" footer="0.3"/>
  <pageSetup paperSize="288" orientation="portrait" horizontalDpi="203" verticalDpi="20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CB99-5619-4CEA-8679-47A31E7181B2}">
  <dimension ref="A1:E52"/>
  <sheetViews>
    <sheetView zoomScale="119" workbookViewId="0">
      <selection activeCell="E48" sqref="E48"/>
    </sheetView>
    <sheetView workbookViewId="1"/>
  </sheetViews>
  <sheetFormatPr defaultRowHeight="15" x14ac:dyDescent="0.25"/>
  <cols>
    <col min="1" max="1" width="18.7109375" customWidth="1"/>
    <col min="2" max="2" width="30" customWidth="1"/>
    <col min="3" max="3" width="27.140625" style="5" customWidth="1"/>
    <col min="4" max="4" width="15.5703125" customWidth="1"/>
    <col min="5" max="5" width="14.7109375" customWidth="1"/>
  </cols>
  <sheetData>
    <row r="1" spans="1:5" x14ac:dyDescent="0.25">
      <c r="A1" t="s">
        <v>39</v>
      </c>
      <c r="B1" t="s">
        <v>40</v>
      </c>
      <c r="C1" t="s">
        <v>41</v>
      </c>
      <c r="D1" s="5" t="s">
        <v>23</v>
      </c>
      <c r="E1" t="s">
        <v>42</v>
      </c>
    </row>
    <row r="2" spans="1:5" hidden="1" x14ac:dyDescent="0.25">
      <c r="B2" t="s">
        <v>5</v>
      </c>
      <c r="C2" t="s">
        <v>37</v>
      </c>
      <c r="D2" s="17">
        <v>1000</v>
      </c>
      <c r="E2" s="3">
        <v>46023</v>
      </c>
    </row>
    <row r="3" spans="1:5" hidden="1" x14ac:dyDescent="0.25">
      <c r="B3" t="s">
        <v>338</v>
      </c>
      <c r="C3" s="7" t="s">
        <v>434</v>
      </c>
      <c r="D3" s="14">
        <v>4208.1499999999996</v>
      </c>
      <c r="E3" s="3">
        <v>46023</v>
      </c>
    </row>
    <row r="4" spans="1:5" hidden="1" x14ac:dyDescent="0.25">
      <c r="B4" t="s">
        <v>27</v>
      </c>
      <c r="C4" s="7" t="s">
        <v>274</v>
      </c>
      <c r="D4" s="14">
        <v>596</v>
      </c>
      <c r="E4" s="3">
        <v>46048</v>
      </c>
    </row>
    <row r="5" spans="1:5" hidden="1" x14ac:dyDescent="0.25">
      <c r="B5" t="s">
        <v>5</v>
      </c>
      <c r="C5" t="s">
        <v>37</v>
      </c>
      <c r="D5" s="15">
        <v>1000</v>
      </c>
      <c r="E5" s="3">
        <v>46054</v>
      </c>
    </row>
    <row r="6" spans="1:5" hidden="1" x14ac:dyDescent="0.25">
      <c r="B6" t="s">
        <v>338</v>
      </c>
      <c r="C6" s="7" t="s">
        <v>434</v>
      </c>
      <c r="D6" s="14">
        <v>4208.1499999999996</v>
      </c>
      <c r="E6" s="3">
        <v>46054</v>
      </c>
    </row>
    <row r="7" spans="1:5" ht="15.75" hidden="1" thickBot="1" x14ac:dyDescent="0.3">
      <c r="B7" t="s">
        <v>5</v>
      </c>
      <c r="C7" t="s">
        <v>37</v>
      </c>
      <c r="D7" s="40">
        <v>1000</v>
      </c>
      <c r="E7" s="3">
        <v>46082</v>
      </c>
    </row>
    <row r="8" spans="1:5" hidden="1" x14ac:dyDescent="0.25">
      <c r="B8" t="s">
        <v>338</v>
      </c>
      <c r="C8" s="7" t="s">
        <v>434</v>
      </c>
      <c r="D8" s="14">
        <v>4208.1499999999996</v>
      </c>
      <c r="E8" s="3">
        <v>46082</v>
      </c>
    </row>
    <row r="9" spans="1:5" hidden="1" x14ac:dyDescent="0.25">
      <c r="B9" t="s">
        <v>5</v>
      </c>
      <c r="C9" t="s">
        <v>37</v>
      </c>
      <c r="D9" s="17">
        <v>1000</v>
      </c>
      <c r="E9" s="3">
        <v>46113</v>
      </c>
    </row>
    <row r="10" spans="1:5" hidden="1" x14ac:dyDescent="0.25">
      <c r="B10" t="s">
        <v>268</v>
      </c>
      <c r="C10" s="7" t="s">
        <v>269</v>
      </c>
      <c r="D10" s="17">
        <v>750</v>
      </c>
      <c r="E10" s="3">
        <v>46113</v>
      </c>
    </row>
    <row r="11" spans="1:5" hidden="1" x14ac:dyDescent="0.25">
      <c r="B11" t="s">
        <v>338</v>
      </c>
      <c r="C11" s="7" t="s">
        <v>434</v>
      </c>
      <c r="D11" s="14">
        <v>4208.1499999999996</v>
      </c>
      <c r="E11" s="3">
        <v>46113</v>
      </c>
    </row>
    <row r="12" spans="1:5" hidden="1" x14ac:dyDescent="0.25">
      <c r="B12" t="s">
        <v>27</v>
      </c>
      <c r="C12" s="7" t="s">
        <v>269</v>
      </c>
      <c r="D12" s="14">
        <v>750</v>
      </c>
      <c r="E12" s="3">
        <v>46121</v>
      </c>
    </row>
    <row r="13" spans="1:5" hidden="1" x14ac:dyDescent="0.25">
      <c r="B13" t="s">
        <v>27</v>
      </c>
      <c r="C13" s="7" t="s">
        <v>270</v>
      </c>
      <c r="D13" s="14">
        <v>1596.07</v>
      </c>
      <c r="E13" s="3">
        <v>46126</v>
      </c>
    </row>
    <row r="14" spans="1:5" hidden="1" x14ac:dyDescent="0.25">
      <c r="B14" t="s">
        <v>8</v>
      </c>
      <c r="C14" t="s">
        <v>129</v>
      </c>
      <c r="D14" s="7">
        <v>13.71</v>
      </c>
      <c r="E14" s="3">
        <v>46143</v>
      </c>
    </row>
    <row r="15" spans="1:5" hidden="1" x14ac:dyDescent="0.25">
      <c r="B15" t="s">
        <v>5</v>
      </c>
      <c r="C15" t="s">
        <v>37</v>
      </c>
      <c r="D15" s="15">
        <v>1000</v>
      </c>
      <c r="E15" s="3">
        <v>46143</v>
      </c>
    </row>
    <row r="16" spans="1:5" hidden="1" x14ac:dyDescent="0.25">
      <c r="A16" s="6"/>
      <c r="B16" s="6" t="s">
        <v>338</v>
      </c>
      <c r="C16" s="46" t="s">
        <v>434</v>
      </c>
      <c r="D16" s="8">
        <v>4208.1499999999996</v>
      </c>
      <c r="E16" s="9">
        <v>46143</v>
      </c>
    </row>
    <row r="17" spans="1:5" hidden="1" x14ac:dyDescent="0.25">
      <c r="A17" s="10"/>
      <c r="B17" t="s">
        <v>8</v>
      </c>
      <c r="C17" s="11" t="s">
        <v>130</v>
      </c>
      <c r="D17" s="12">
        <v>48.85</v>
      </c>
      <c r="E17" s="13">
        <v>46144</v>
      </c>
    </row>
    <row r="18" spans="1:5" hidden="1" x14ac:dyDescent="0.25">
      <c r="B18" t="s">
        <v>8</v>
      </c>
      <c r="C18" t="s">
        <v>131</v>
      </c>
      <c r="D18" s="15">
        <v>28.71</v>
      </c>
      <c r="E18" s="3">
        <v>46147</v>
      </c>
    </row>
    <row r="19" spans="1:5" hidden="1" x14ac:dyDescent="0.25">
      <c r="B19" t="s">
        <v>75</v>
      </c>
      <c r="C19" t="s">
        <v>132</v>
      </c>
      <c r="D19" s="15">
        <v>-84</v>
      </c>
      <c r="E19" s="3">
        <v>46149</v>
      </c>
    </row>
    <row r="20" spans="1:5" hidden="1" x14ac:dyDescent="0.25">
      <c r="B20" t="s">
        <v>7</v>
      </c>
      <c r="C20" t="s">
        <v>133</v>
      </c>
      <c r="D20" s="7">
        <v>125.18</v>
      </c>
      <c r="E20" s="3">
        <v>46150</v>
      </c>
    </row>
    <row r="21" spans="1:5" hidden="1" x14ac:dyDescent="0.25">
      <c r="B21" t="s">
        <v>7</v>
      </c>
      <c r="C21" t="s">
        <v>134</v>
      </c>
      <c r="D21" s="15">
        <v>70.94</v>
      </c>
      <c r="E21" s="3">
        <v>46154</v>
      </c>
    </row>
    <row r="22" spans="1:5" hidden="1" x14ac:dyDescent="0.25">
      <c r="B22" t="s">
        <v>7</v>
      </c>
      <c r="C22" t="s">
        <v>135</v>
      </c>
      <c r="D22" s="15">
        <v>53.68</v>
      </c>
      <c r="E22" s="3">
        <v>46155</v>
      </c>
    </row>
    <row r="23" spans="1:5" hidden="1" x14ac:dyDescent="0.25">
      <c r="B23" t="s">
        <v>7</v>
      </c>
      <c r="C23" t="s">
        <v>135</v>
      </c>
      <c r="D23" s="15">
        <v>107.95</v>
      </c>
      <c r="E23" s="3">
        <v>46155</v>
      </c>
    </row>
    <row r="24" spans="1:5" hidden="1" x14ac:dyDescent="0.25">
      <c r="B24" t="s">
        <v>7</v>
      </c>
      <c r="C24" t="s">
        <v>136</v>
      </c>
      <c r="D24" s="7">
        <v>50.49</v>
      </c>
      <c r="E24" s="3">
        <v>46156</v>
      </c>
    </row>
    <row r="25" spans="1:5" hidden="1" x14ac:dyDescent="0.25">
      <c r="B25" s="6" t="s">
        <v>5</v>
      </c>
      <c r="C25" s="6" t="s">
        <v>37</v>
      </c>
      <c r="D25" s="20">
        <v>1000</v>
      </c>
      <c r="E25" s="9">
        <v>46174</v>
      </c>
    </row>
    <row r="26" spans="1:5" hidden="1" x14ac:dyDescent="0.25">
      <c r="B26" s="6" t="s">
        <v>338</v>
      </c>
      <c r="C26" s="20" t="s">
        <v>434</v>
      </c>
      <c r="D26" s="8">
        <v>4208.1499999999996</v>
      </c>
      <c r="E26" s="9">
        <v>46174</v>
      </c>
    </row>
    <row r="27" spans="1:5" hidden="1" x14ac:dyDescent="0.25">
      <c r="B27" s="6" t="s">
        <v>5</v>
      </c>
      <c r="C27" s="6" t="s">
        <v>38</v>
      </c>
      <c r="D27" s="8">
        <v>300</v>
      </c>
      <c r="E27" s="9">
        <v>46177</v>
      </c>
    </row>
    <row r="28" spans="1:5" hidden="1" x14ac:dyDescent="0.25">
      <c r="B28" s="6" t="s">
        <v>137</v>
      </c>
      <c r="C28" s="6" t="s">
        <v>138</v>
      </c>
      <c r="D28" s="8">
        <v>1696</v>
      </c>
      <c r="E28" s="9">
        <v>46179</v>
      </c>
    </row>
    <row r="29" spans="1:5" hidden="1" x14ac:dyDescent="0.25">
      <c r="B29" s="6" t="s">
        <v>7</v>
      </c>
      <c r="C29" s="6" t="s">
        <v>133</v>
      </c>
      <c r="D29" s="8">
        <v>125.18</v>
      </c>
      <c r="E29" s="9">
        <v>46181</v>
      </c>
    </row>
    <row r="30" spans="1:5" hidden="1" x14ac:dyDescent="0.25">
      <c r="B30" s="6" t="s">
        <v>7</v>
      </c>
      <c r="C30" s="6" t="s">
        <v>135</v>
      </c>
      <c r="D30" s="20">
        <v>45.38</v>
      </c>
      <c r="E30" s="9">
        <v>46185</v>
      </c>
    </row>
    <row r="31" spans="1:5" hidden="1" x14ac:dyDescent="0.25">
      <c r="B31" t="s">
        <v>7</v>
      </c>
      <c r="C31" t="s">
        <v>135</v>
      </c>
      <c r="D31" s="15">
        <v>131.46</v>
      </c>
      <c r="E31" s="3">
        <v>46185</v>
      </c>
    </row>
    <row r="32" spans="1:5" hidden="1" x14ac:dyDescent="0.25">
      <c r="B32" t="s">
        <v>7</v>
      </c>
      <c r="C32" t="s">
        <v>136</v>
      </c>
      <c r="D32" s="17">
        <v>46.16</v>
      </c>
      <c r="E32" s="3">
        <v>46185</v>
      </c>
    </row>
    <row r="33" spans="1:5" hidden="1" x14ac:dyDescent="0.25">
      <c r="B33" t="s">
        <v>7</v>
      </c>
      <c r="C33" t="s">
        <v>134</v>
      </c>
      <c r="D33" s="17">
        <v>70.94</v>
      </c>
      <c r="E33" s="3">
        <v>46185</v>
      </c>
    </row>
    <row r="34" spans="1:5" hidden="1" x14ac:dyDescent="0.25">
      <c r="B34" t="s">
        <v>338</v>
      </c>
      <c r="C34" s="49" t="s">
        <v>434</v>
      </c>
      <c r="D34" s="14">
        <v>4056.13</v>
      </c>
      <c r="E34" s="3">
        <v>46204</v>
      </c>
    </row>
    <row r="35" spans="1:5" hidden="1" x14ac:dyDescent="0.25">
      <c r="B35" t="s">
        <v>5</v>
      </c>
      <c r="C35" s="16" t="s">
        <v>37</v>
      </c>
      <c r="D35" s="17">
        <v>1000</v>
      </c>
      <c r="E35" s="3">
        <v>46205</v>
      </c>
    </row>
    <row r="36" spans="1:5" hidden="1" x14ac:dyDescent="0.25">
      <c r="B36" t="s">
        <v>137</v>
      </c>
      <c r="C36" s="16" t="s">
        <v>138</v>
      </c>
      <c r="D36" s="17">
        <v>412.69</v>
      </c>
      <c r="E36" s="3">
        <v>46209</v>
      </c>
    </row>
    <row r="37" spans="1:5" hidden="1" x14ac:dyDescent="0.25">
      <c r="A37" s="10"/>
      <c r="B37" t="s">
        <v>5</v>
      </c>
      <c r="C37" s="16" t="s">
        <v>38</v>
      </c>
      <c r="D37" s="17">
        <v>230</v>
      </c>
      <c r="E37" s="3">
        <v>46209</v>
      </c>
    </row>
    <row r="38" spans="1:5" hidden="1" x14ac:dyDescent="0.25">
      <c r="B38" t="s">
        <v>7</v>
      </c>
      <c r="C38" s="16" t="s">
        <v>133</v>
      </c>
      <c r="D38" s="14">
        <v>125.18</v>
      </c>
      <c r="E38" s="3">
        <v>46211</v>
      </c>
    </row>
    <row r="39" spans="1:5" hidden="1" x14ac:dyDescent="0.25">
      <c r="B39" t="s">
        <v>7</v>
      </c>
      <c r="C39" s="16" t="s">
        <v>134</v>
      </c>
      <c r="D39" s="17">
        <v>70.94</v>
      </c>
      <c r="E39" s="3">
        <v>46216</v>
      </c>
    </row>
    <row r="40" spans="1:5" hidden="1" x14ac:dyDescent="0.25">
      <c r="B40" t="s">
        <v>7</v>
      </c>
      <c r="C40" s="16" t="s">
        <v>135</v>
      </c>
      <c r="D40" s="15">
        <v>37.72</v>
      </c>
      <c r="E40" s="3">
        <v>46218</v>
      </c>
    </row>
    <row r="41" spans="1:5" hidden="1" x14ac:dyDescent="0.25">
      <c r="B41" t="s">
        <v>7</v>
      </c>
      <c r="C41" s="16" t="s">
        <v>135</v>
      </c>
      <c r="D41" s="15">
        <v>228.04</v>
      </c>
      <c r="E41" s="3">
        <v>46218</v>
      </c>
    </row>
    <row r="42" spans="1:5" hidden="1" x14ac:dyDescent="0.25">
      <c r="B42" t="s">
        <v>27</v>
      </c>
      <c r="C42" s="49" t="s">
        <v>560</v>
      </c>
      <c r="D42" s="14">
        <f>345.9-323.41</f>
        <v>22.489999999999952</v>
      </c>
      <c r="E42" s="3">
        <v>46232</v>
      </c>
    </row>
    <row r="43" spans="1:5" x14ac:dyDescent="0.25">
      <c r="B43" t="s">
        <v>7</v>
      </c>
      <c r="C43" s="16" t="s">
        <v>136</v>
      </c>
      <c r="D43" s="17">
        <v>49.05</v>
      </c>
      <c r="E43" s="3">
        <v>46237</v>
      </c>
    </row>
    <row r="44" spans="1:5" x14ac:dyDescent="0.25">
      <c r="B44" t="s">
        <v>5</v>
      </c>
      <c r="C44" s="16" t="s">
        <v>37</v>
      </c>
      <c r="D44" s="17">
        <v>1000</v>
      </c>
      <c r="E44" s="3">
        <v>46237</v>
      </c>
    </row>
    <row r="45" spans="1:5" x14ac:dyDescent="0.25">
      <c r="B45" t="s">
        <v>5</v>
      </c>
      <c r="C45" s="16" t="s">
        <v>38</v>
      </c>
      <c r="D45" s="17">
        <v>230</v>
      </c>
      <c r="E45" s="3">
        <v>46238</v>
      </c>
    </row>
    <row r="46" spans="1:5" x14ac:dyDescent="0.25">
      <c r="A46" t="s">
        <v>122</v>
      </c>
      <c r="B46" t="s">
        <v>7</v>
      </c>
      <c r="C46" s="16" t="s">
        <v>135</v>
      </c>
      <c r="D46" s="17">
        <v>32.549999999999997</v>
      </c>
      <c r="E46" s="3">
        <v>46247</v>
      </c>
    </row>
    <row r="47" spans="1:5" x14ac:dyDescent="0.25">
      <c r="A47" t="s">
        <v>122</v>
      </c>
      <c r="B47" t="s">
        <v>7</v>
      </c>
      <c r="C47" s="16" t="s">
        <v>135</v>
      </c>
      <c r="D47" s="17">
        <v>282.37</v>
      </c>
      <c r="E47" s="3">
        <v>46247</v>
      </c>
    </row>
    <row r="48" spans="1:5" x14ac:dyDescent="0.25">
      <c r="A48" t="s">
        <v>122</v>
      </c>
      <c r="B48" t="s">
        <v>7</v>
      </c>
      <c r="C48" s="49" t="s">
        <v>564</v>
      </c>
      <c r="D48" s="14">
        <v>300</v>
      </c>
      <c r="E48" s="3">
        <v>46249</v>
      </c>
    </row>
    <row r="49" spans="1:5" x14ac:dyDescent="0.25">
      <c r="A49" t="s">
        <v>122</v>
      </c>
      <c r="B49" t="s">
        <v>7</v>
      </c>
      <c r="C49" s="16" t="s">
        <v>136</v>
      </c>
      <c r="D49" s="17">
        <v>49.05</v>
      </c>
      <c r="E49" s="3">
        <v>46261</v>
      </c>
    </row>
    <row r="50" spans="1:5" x14ac:dyDescent="0.25">
      <c r="A50" t="s">
        <v>122</v>
      </c>
      <c r="B50" s="18" t="s">
        <v>8</v>
      </c>
      <c r="C50" s="16" t="s">
        <v>139</v>
      </c>
      <c r="D50" s="17">
        <v>44.99</v>
      </c>
      <c r="E50" s="3">
        <v>46264</v>
      </c>
    </row>
    <row r="51" spans="1:5" x14ac:dyDescent="0.25">
      <c r="A51" t="s">
        <v>122</v>
      </c>
      <c r="B51" s="18" t="s">
        <v>8</v>
      </c>
      <c r="C51" s="50" t="s">
        <v>140</v>
      </c>
      <c r="D51" s="19">
        <v>300</v>
      </c>
      <c r="E51" s="3">
        <v>46264</v>
      </c>
    </row>
    <row r="52" spans="1:5" hidden="1" x14ac:dyDescent="0.25">
      <c r="A52" t="s">
        <v>122</v>
      </c>
      <c r="B52" t="s">
        <v>27</v>
      </c>
      <c r="C52" s="14" t="s">
        <v>589</v>
      </c>
      <c r="D52" s="14">
        <v>230</v>
      </c>
      <c r="E52" s="3">
        <v>46296</v>
      </c>
    </row>
  </sheetData>
  <pageMargins left="0.7" right="0.7" top="0.75" bottom="0.75" header="0.3" footer="0.3"/>
  <pageSetup paperSize="288" orientation="portrait" horizontalDpi="203" verticalDpi="203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E541-0587-4452-ADD3-1B5883DDA7F1}">
  <dimension ref="A1:J262"/>
  <sheetViews>
    <sheetView zoomScale="140" zoomScaleNormal="140" workbookViewId="0">
      <selection activeCell="C261" sqref="C261"/>
    </sheetView>
    <sheetView workbookViewId="1"/>
  </sheetViews>
  <sheetFormatPr defaultRowHeight="15" x14ac:dyDescent="0.25"/>
  <cols>
    <col min="1" max="1" width="16.5703125" customWidth="1"/>
    <col min="2" max="2" width="15.42578125" customWidth="1"/>
    <col min="3" max="3" width="19" customWidth="1"/>
    <col min="4" max="4" width="29.140625" customWidth="1"/>
    <col min="5" max="5" width="19.140625" customWidth="1"/>
    <col min="6" max="6" width="17.140625" style="35" customWidth="1"/>
  </cols>
  <sheetData>
    <row r="1" spans="1:10" x14ac:dyDescent="0.25">
      <c r="A1" t="s">
        <v>39</v>
      </c>
      <c r="B1" t="s">
        <v>22</v>
      </c>
      <c r="C1" t="s">
        <v>40</v>
      </c>
      <c r="D1" t="s">
        <v>41</v>
      </c>
      <c r="E1" t="s">
        <v>23</v>
      </c>
      <c r="F1" s="35" t="s">
        <v>42</v>
      </c>
      <c r="G1" t="s">
        <v>141</v>
      </c>
    </row>
    <row r="2" spans="1:10" hidden="1" x14ac:dyDescent="0.25">
      <c r="C2" t="s">
        <v>9</v>
      </c>
      <c r="D2" t="s">
        <v>142</v>
      </c>
      <c r="E2" s="2">
        <v>11.9</v>
      </c>
      <c r="F2" s="37">
        <v>46143</v>
      </c>
      <c r="J2" t="s">
        <v>253</v>
      </c>
    </row>
    <row r="3" spans="1:10" hidden="1" x14ac:dyDescent="0.25">
      <c r="C3" t="s">
        <v>6</v>
      </c>
      <c r="D3" t="s">
        <v>98</v>
      </c>
      <c r="E3" s="2">
        <v>45.81</v>
      </c>
      <c r="F3" s="37">
        <v>46143</v>
      </c>
      <c r="J3" t="s">
        <v>9</v>
      </c>
    </row>
    <row r="4" spans="1:10" hidden="1" x14ac:dyDescent="0.25">
      <c r="C4" t="s">
        <v>14</v>
      </c>
      <c r="D4" t="s">
        <v>107</v>
      </c>
      <c r="E4" s="2">
        <v>14.37</v>
      </c>
      <c r="F4" s="37">
        <v>46143</v>
      </c>
      <c r="J4" t="s">
        <v>6</v>
      </c>
    </row>
    <row r="5" spans="1:10" hidden="1" x14ac:dyDescent="0.25">
      <c r="C5" t="s">
        <v>11</v>
      </c>
      <c r="D5" t="s">
        <v>43</v>
      </c>
      <c r="E5" s="2">
        <v>26.99</v>
      </c>
      <c r="F5" s="37">
        <v>46143</v>
      </c>
      <c r="J5" t="s">
        <v>14</v>
      </c>
    </row>
    <row r="6" spans="1:10" hidden="1" x14ac:dyDescent="0.25">
      <c r="C6" t="s">
        <v>9</v>
      </c>
      <c r="D6" t="s">
        <v>143</v>
      </c>
      <c r="E6" s="2">
        <v>21.46</v>
      </c>
      <c r="F6" s="37">
        <v>46144</v>
      </c>
      <c r="J6" t="s">
        <v>11</v>
      </c>
    </row>
    <row r="7" spans="1:10" hidden="1" x14ac:dyDescent="0.25">
      <c r="C7" t="s">
        <v>9</v>
      </c>
      <c r="D7" t="s">
        <v>144</v>
      </c>
      <c r="E7" s="2">
        <v>53.94</v>
      </c>
      <c r="F7" s="37">
        <v>46144</v>
      </c>
      <c r="J7" t="s">
        <v>12</v>
      </c>
    </row>
    <row r="8" spans="1:10" hidden="1" x14ac:dyDescent="0.25">
      <c r="C8" t="s">
        <v>12</v>
      </c>
      <c r="D8" t="s">
        <v>145</v>
      </c>
      <c r="E8" s="2">
        <v>94.26</v>
      </c>
      <c r="F8" s="37">
        <v>46144</v>
      </c>
      <c r="J8" t="s">
        <v>16</v>
      </c>
    </row>
    <row r="9" spans="1:10" hidden="1" x14ac:dyDescent="0.25">
      <c r="C9" t="s">
        <v>12</v>
      </c>
      <c r="D9" t="s">
        <v>146</v>
      </c>
      <c r="E9" s="2">
        <v>27.61</v>
      </c>
      <c r="F9" s="37">
        <v>46144</v>
      </c>
      <c r="J9" t="s">
        <v>8</v>
      </c>
    </row>
    <row r="10" spans="1:10" hidden="1" x14ac:dyDescent="0.25">
      <c r="C10" t="s">
        <v>12</v>
      </c>
      <c r="D10" t="s">
        <v>145</v>
      </c>
      <c r="E10" s="2">
        <v>6.15</v>
      </c>
      <c r="F10" s="37">
        <v>46144</v>
      </c>
      <c r="J10" t="s">
        <v>10</v>
      </c>
    </row>
    <row r="11" spans="1:10" hidden="1" x14ac:dyDescent="0.25">
      <c r="C11" t="s">
        <v>16</v>
      </c>
      <c r="D11" t="s">
        <v>57</v>
      </c>
      <c r="E11" s="2">
        <v>12.96</v>
      </c>
      <c r="F11" s="37">
        <v>46145</v>
      </c>
      <c r="J11" t="s">
        <v>5</v>
      </c>
    </row>
    <row r="12" spans="1:10" hidden="1" x14ac:dyDescent="0.25">
      <c r="C12" t="s">
        <v>6</v>
      </c>
      <c r="D12" t="s">
        <v>98</v>
      </c>
      <c r="E12" s="2">
        <v>25.74</v>
      </c>
      <c r="F12" s="37">
        <v>46145</v>
      </c>
      <c r="J12" t="s">
        <v>15</v>
      </c>
    </row>
    <row r="13" spans="1:10" hidden="1" x14ac:dyDescent="0.25">
      <c r="C13" t="s">
        <v>6</v>
      </c>
      <c r="D13" t="s">
        <v>147</v>
      </c>
      <c r="E13" s="2">
        <v>93.38</v>
      </c>
      <c r="F13" s="37">
        <v>46145</v>
      </c>
      <c r="J13" t="s">
        <v>17</v>
      </c>
    </row>
    <row r="14" spans="1:10" hidden="1" x14ac:dyDescent="0.25">
      <c r="C14" t="s">
        <v>8</v>
      </c>
      <c r="D14" t="s">
        <v>148</v>
      </c>
      <c r="E14" s="2">
        <v>77.540000000000006</v>
      </c>
      <c r="F14" s="37">
        <v>46145</v>
      </c>
      <c r="J14" t="s">
        <v>13</v>
      </c>
    </row>
    <row r="15" spans="1:10" hidden="1" x14ac:dyDescent="0.25">
      <c r="C15" t="s">
        <v>10</v>
      </c>
      <c r="D15" t="s">
        <v>149</v>
      </c>
      <c r="E15" s="2">
        <v>4.33</v>
      </c>
      <c r="F15" s="37">
        <v>46145</v>
      </c>
      <c r="J15" t="s">
        <v>27</v>
      </c>
    </row>
    <row r="16" spans="1:10" hidden="1" x14ac:dyDescent="0.25">
      <c r="C16" t="s">
        <v>9</v>
      </c>
      <c r="D16" t="s">
        <v>150</v>
      </c>
      <c r="E16" s="2">
        <v>20.12</v>
      </c>
      <c r="F16" s="37">
        <v>46145</v>
      </c>
      <c r="J16" t="s">
        <v>75</v>
      </c>
    </row>
    <row r="17" spans="3:10" hidden="1" x14ac:dyDescent="0.25">
      <c r="C17" t="s">
        <v>14</v>
      </c>
      <c r="D17" t="s">
        <v>46</v>
      </c>
      <c r="E17" s="2">
        <v>3.52</v>
      </c>
      <c r="F17" s="37">
        <v>46147</v>
      </c>
      <c r="J17" t="s">
        <v>137</v>
      </c>
    </row>
    <row r="18" spans="3:10" hidden="1" x14ac:dyDescent="0.25">
      <c r="C18" t="s">
        <v>5</v>
      </c>
      <c r="D18" t="s">
        <v>151</v>
      </c>
      <c r="E18" s="2">
        <v>173.64</v>
      </c>
      <c r="F18" s="37">
        <v>46147</v>
      </c>
    </row>
    <row r="19" spans="3:10" hidden="1" x14ac:dyDescent="0.25">
      <c r="C19" t="s">
        <v>14</v>
      </c>
      <c r="D19" t="s">
        <v>107</v>
      </c>
      <c r="E19" s="2">
        <v>16.55</v>
      </c>
      <c r="F19" s="37">
        <v>46150</v>
      </c>
    </row>
    <row r="20" spans="3:10" hidden="1" x14ac:dyDescent="0.25">
      <c r="C20" t="s">
        <v>9</v>
      </c>
      <c r="D20" t="s">
        <v>152</v>
      </c>
      <c r="E20" s="2">
        <v>101.65</v>
      </c>
      <c r="F20" s="37">
        <v>46150</v>
      </c>
    </row>
    <row r="21" spans="3:10" hidden="1" x14ac:dyDescent="0.25">
      <c r="C21" t="s">
        <v>9</v>
      </c>
      <c r="D21" t="s">
        <v>153</v>
      </c>
      <c r="E21" s="2">
        <v>5</v>
      </c>
      <c r="F21" s="37">
        <v>46150</v>
      </c>
    </row>
    <row r="22" spans="3:10" hidden="1" x14ac:dyDescent="0.25">
      <c r="C22" t="s">
        <v>15</v>
      </c>
      <c r="D22" t="s">
        <v>154</v>
      </c>
      <c r="E22" s="2">
        <v>77.45</v>
      </c>
      <c r="F22" s="37">
        <v>46151</v>
      </c>
    </row>
    <row r="23" spans="3:10" hidden="1" x14ac:dyDescent="0.25">
      <c r="C23" t="s">
        <v>9</v>
      </c>
      <c r="D23" t="s">
        <v>155</v>
      </c>
      <c r="E23" s="2">
        <v>44.71</v>
      </c>
      <c r="F23" s="37">
        <v>46151</v>
      </c>
    </row>
    <row r="24" spans="3:10" hidden="1" x14ac:dyDescent="0.25">
      <c r="C24" t="s">
        <v>6</v>
      </c>
      <c r="D24" t="s">
        <v>156</v>
      </c>
      <c r="E24" s="2">
        <v>11.85</v>
      </c>
      <c r="F24" s="37">
        <v>46151</v>
      </c>
    </row>
    <row r="25" spans="3:10" hidden="1" x14ac:dyDescent="0.25">
      <c r="C25" t="s">
        <v>14</v>
      </c>
      <c r="D25" t="s">
        <v>157</v>
      </c>
      <c r="E25" s="2">
        <v>7.2</v>
      </c>
      <c r="F25" s="37">
        <v>46151</v>
      </c>
    </row>
    <row r="26" spans="3:10" hidden="1" x14ac:dyDescent="0.25">
      <c r="C26" t="s">
        <v>6</v>
      </c>
      <c r="D26" t="s">
        <v>98</v>
      </c>
      <c r="E26" s="2">
        <v>135.05000000000001</v>
      </c>
      <c r="F26" s="37">
        <v>46152</v>
      </c>
    </row>
    <row r="27" spans="3:10" hidden="1" x14ac:dyDescent="0.25">
      <c r="C27" t="s">
        <v>14</v>
      </c>
      <c r="D27" t="s">
        <v>158</v>
      </c>
      <c r="E27" s="2">
        <v>13.15</v>
      </c>
      <c r="F27" s="37">
        <v>46152</v>
      </c>
    </row>
    <row r="28" spans="3:10" hidden="1" x14ac:dyDescent="0.25">
      <c r="C28" t="s">
        <v>14</v>
      </c>
      <c r="D28" t="s">
        <v>107</v>
      </c>
      <c r="E28" s="2">
        <v>14.37</v>
      </c>
      <c r="F28" s="37">
        <v>46154</v>
      </c>
    </row>
    <row r="29" spans="3:10" hidden="1" x14ac:dyDescent="0.25">
      <c r="C29" t="s">
        <v>6</v>
      </c>
      <c r="D29" t="s">
        <v>159</v>
      </c>
      <c r="E29" s="2">
        <v>5.99</v>
      </c>
      <c r="F29" s="37">
        <v>46155</v>
      </c>
    </row>
    <row r="30" spans="3:10" hidden="1" x14ac:dyDescent="0.25">
      <c r="C30" t="s">
        <v>6</v>
      </c>
      <c r="D30" t="s">
        <v>159</v>
      </c>
      <c r="E30" s="2">
        <v>8.9</v>
      </c>
      <c r="F30" s="37">
        <v>46155</v>
      </c>
    </row>
    <row r="31" spans="3:10" hidden="1" x14ac:dyDescent="0.25">
      <c r="C31" t="s">
        <v>14</v>
      </c>
      <c r="D31" t="s">
        <v>157</v>
      </c>
      <c r="E31" s="2">
        <v>9.51</v>
      </c>
      <c r="F31" s="37">
        <v>46155</v>
      </c>
    </row>
    <row r="32" spans="3:10" hidden="1" x14ac:dyDescent="0.25">
      <c r="C32" t="s">
        <v>12</v>
      </c>
      <c r="D32" t="s">
        <v>160</v>
      </c>
      <c r="E32" s="2">
        <v>24</v>
      </c>
      <c r="F32" s="37">
        <v>46156</v>
      </c>
    </row>
    <row r="33" spans="3:6" hidden="1" x14ac:dyDescent="0.25">
      <c r="C33" t="s">
        <v>9</v>
      </c>
      <c r="D33" t="s">
        <v>153</v>
      </c>
      <c r="E33" s="2">
        <v>11.9</v>
      </c>
      <c r="F33" s="37">
        <v>46157</v>
      </c>
    </row>
    <row r="34" spans="3:6" hidden="1" x14ac:dyDescent="0.25">
      <c r="C34" t="s">
        <v>9</v>
      </c>
      <c r="D34" t="s">
        <v>161</v>
      </c>
      <c r="E34" s="2">
        <v>9.3000000000000007</v>
      </c>
      <c r="F34" s="37">
        <v>46157</v>
      </c>
    </row>
    <row r="35" spans="3:6" hidden="1" x14ac:dyDescent="0.25">
      <c r="C35" t="s">
        <v>12</v>
      </c>
      <c r="D35" t="s">
        <v>162</v>
      </c>
      <c r="E35" s="2">
        <v>19.260000000000002</v>
      </c>
      <c r="F35" s="37">
        <v>46158</v>
      </c>
    </row>
    <row r="36" spans="3:6" hidden="1" x14ac:dyDescent="0.25">
      <c r="C36" t="s">
        <v>9</v>
      </c>
      <c r="D36" t="s">
        <v>163</v>
      </c>
      <c r="E36" s="2">
        <v>13.97</v>
      </c>
      <c r="F36" s="37">
        <v>46158</v>
      </c>
    </row>
    <row r="37" spans="3:6" hidden="1" x14ac:dyDescent="0.25">
      <c r="C37" t="s">
        <v>17</v>
      </c>
      <c r="D37" t="s">
        <v>164</v>
      </c>
      <c r="E37" s="2">
        <v>62.31</v>
      </c>
      <c r="F37" s="37">
        <v>46159</v>
      </c>
    </row>
    <row r="38" spans="3:6" hidden="1" x14ac:dyDescent="0.25">
      <c r="C38" t="s">
        <v>14</v>
      </c>
      <c r="D38" t="s">
        <v>165</v>
      </c>
      <c r="E38" s="2">
        <v>11.33</v>
      </c>
      <c r="F38" s="37">
        <v>46159</v>
      </c>
    </row>
    <row r="39" spans="3:6" hidden="1" x14ac:dyDescent="0.25">
      <c r="C39" t="s">
        <v>8</v>
      </c>
      <c r="D39" t="s">
        <v>83</v>
      </c>
      <c r="E39" s="2">
        <v>33.18</v>
      </c>
      <c r="F39" s="37">
        <v>46160</v>
      </c>
    </row>
    <row r="40" spans="3:6" hidden="1" x14ac:dyDescent="0.25">
      <c r="C40" t="s">
        <v>6</v>
      </c>
      <c r="D40" t="s">
        <v>98</v>
      </c>
      <c r="E40" s="2">
        <v>155.62</v>
      </c>
      <c r="F40" s="37">
        <v>46162</v>
      </c>
    </row>
    <row r="41" spans="3:6" hidden="1" x14ac:dyDescent="0.25">
      <c r="C41" t="s">
        <v>14</v>
      </c>
      <c r="D41" t="s">
        <v>107</v>
      </c>
      <c r="E41" s="2">
        <v>17.5</v>
      </c>
      <c r="F41" s="37">
        <v>46164</v>
      </c>
    </row>
    <row r="42" spans="3:6" hidden="1" x14ac:dyDescent="0.25">
      <c r="C42" t="s">
        <v>12</v>
      </c>
      <c r="D42" t="s">
        <v>166</v>
      </c>
      <c r="E42" s="2">
        <v>23.98</v>
      </c>
      <c r="F42" s="37">
        <v>46165</v>
      </c>
    </row>
    <row r="43" spans="3:6" hidden="1" x14ac:dyDescent="0.25">
      <c r="C43" t="s">
        <v>12</v>
      </c>
      <c r="D43" t="s">
        <v>71</v>
      </c>
      <c r="E43" s="2">
        <v>15</v>
      </c>
      <c r="F43" s="37">
        <v>46165</v>
      </c>
    </row>
    <row r="44" spans="3:6" hidden="1" x14ac:dyDescent="0.25">
      <c r="C44" t="s">
        <v>15</v>
      </c>
      <c r="D44" t="s">
        <v>167</v>
      </c>
      <c r="E44" s="2">
        <v>44.51</v>
      </c>
      <c r="F44" s="37">
        <v>46166</v>
      </c>
    </row>
    <row r="45" spans="3:6" hidden="1" x14ac:dyDescent="0.25">
      <c r="C45" t="s">
        <v>17</v>
      </c>
      <c r="D45" t="s">
        <v>168</v>
      </c>
      <c r="E45" s="2">
        <v>20</v>
      </c>
      <c r="F45" s="37">
        <v>46166</v>
      </c>
    </row>
    <row r="46" spans="3:6" hidden="1" x14ac:dyDescent="0.25">
      <c r="C46" t="s">
        <v>17</v>
      </c>
      <c r="D46" t="s">
        <v>169</v>
      </c>
      <c r="E46" s="2">
        <v>20</v>
      </c>
      <c r="F46" s="37">
        <v>46167</v>
      </c>
    </row>
    <row r="47" spans="3:6" hidden="1" x14ac:dyDescent="0.25">
      <c r="C47" t="s">
        <v>17</v>
      </c>
      <c r="D47" t="s">
        <v>164</v>
      </c>
      <c r="E47" s="2">
        <v>50.38</v>
      </c>
      <c r="F47" s="37">
        <v>46168</v>
      </c>
    </row>
    <row r="48" spans="3:6" hidden="1" x14ac:dyDescent="0.25">
      <c r="C48" t="s">
        <v>8</v>
      </c>
      <c r="D48" t="s">
        <v>83</v>
      </c>
      <c r="E48" s="2">
        <v>118.56</v>
      </c>
      <c r="F48" s="37">
        <v>46168</v>
      </c>
    </row>
    <row r="49" spans="1:7" hidden="1" x14ac:dyDescent="0.25">
      <c r="C49" t="s">
        <v>6</v>
      </c>
      <c r="D49" t="s">
        <v>98</v>
      </c>
      <c r="E49" s="2">
        <v>8.9700000000000006</v>
      </c>
      <c r="F49" s="37">
        <v>46168</v>
      </c>
    </row>
    <row r="50" spans="1:7" hidden="1" x14ac:dyDescent="0.25">
      <c r="C50" t="s">
        <v>13</v>
      </c>
      <c r="D50" t="s">
        <v>170</v>
      </c>
      <c r="E50" s="2">
        <v>115.25</v>
      </c>
      <c r="F50" s="37">
        <v>46172</v>
      </c>
    </row>
    <row r="51" spans="1:7" hidden="1" x14ac:dyDescent="0.25">
      <c r="C51" t="s">
        <v>14</v>
      </c>
      <c r="D51" t="s">
        <v>171</v>
      </c>
      <c r="E51" s="2">
        <v>14.37</v>
      </c>
      <c r="F51" s="37">
        <v>46172</v>
      </c>
    </row>
    <row r="52" spans="1:7" hidden="1" x14ac:dyDescent="0.25">
      <c r="A52" s="21"/>
      <c r="B52" s="21">
        <v>7706</v>
      </c>
      <c r="C52" s="21" t="s">
        <v>12</v>
      </c>
      <c r="D52" s="21" t="s">
        <v>172</v>
      </c>
      <c r="E52" s="29">
        <v>42.7</v>
      </c>
      <c r="F52" s="38">
        <v>46174</v>
      </c>
      <c r="G52" s="21"/>
    </row>
    <row r="53" spans="1:7" hidden="1" x14ac:dyDescent="0.25">
      <c r="A53" s="21"/>
      <c r="B53" s="21">
        <v>7706</v>
      </c>
      <c r="C53" s="21" t="s">
        <v>9</v>
      </c>
      <c r="D53" s="21" t="s">
        <v>173</v>
      </c>
      <c r="E53" s="29">
        <v>35.43</v>
      </c>
      <c r="F53" s="38">
        <v>46174</v>
      </c>
      <c r="G53" s="21"/>
    </row>
    <row r="54" spans="1:7" hidden="1" x14ac:dyDescent="0.25">
      <c r="A54" s="21"/>
      <c r="B54" s="21">
        <v>5397</v>
      </c>
      <c r="C54" s="21" t="s">
        <v>11</v>
      </c>
      <c r="D54" s="21" t="s">
        <v>43</v>
      </c>
      <c r="E54" s="29">
        <v>26.99</v>
      </c>
      <c r="F54" s="38">
        <v>46174</v>
      </c>
      <c r="G54" s="21"/>
    </row>
    <row r="55" spans="1:7" hidden="1" x14ac:dyDescent="0.25">
      <c r="A55" s="21"/>
      <c r="B55" s="21">
        <v>2513</v>
      </c>
      <c r="C55" s="21" t="s">
        <v>5</v>
      </c>
      <c r="D55" s="21" t="s">
        <v>151</v>
      </c>
      <c r="E55" s="29">
        <v>173.64</v>
      </c>
      <c r="F55" s="38">
        <v>46175</v>
      </c>
      <c r="G55" s="21"/>
    </row>
    <row r="56" spans="1:7" hidden="1" x14ac:dyDescent="0.25">
      <c r="A56" s="21"/>
      <c r="B56" s="21">
        <v>7706</v>
      </c>
      <c r="C56" s="21" t="s">
        <v>15</v>
      </c>
      <c r="D56" s="21" t="s">
        <v>174</v>
      </c>
      <c r="E56" s="29">
        <v>34.75</v>
      </c>
      <c r="F56" s="38">
        <v>46175</v>
      </c>
      <c r="G56" s="21"/>
    </row>
    <row r="57" spans="1:7" hidden="1" x14ac:dyDescent="0.25">
      <c r="A57" s="21"/>
      <c r="B57" s="21">
        <v>7706</v>
      </c>
      <c r="C57" s="21" t="s">
        <v>6</v>
      </c>
      <c r="D57" s="21" t="s">
        <v>175</v>
      </c>
      <c r="E57" s="29">
        <v>156.4</v>
      </c>
      <c r="F57" s="38">
        <v>46175</v>
      </c>
      <c r="G57" s="21"/>
    </row>
    <row r="58" spans="1:7" hidden="1" x14ac:dyDescent="0.25">
      <c r="A58" s="21"/>
      <c r="B58" s="21">
        <v>7706</v>
      </c>
      <c r="C58" s="21" t="s">
        <v>8</v>
      </c>
      <c r="D58" s="21" t="s">
        <v>176</v>
      </c>
      <c r="E58" s="29">
        <v>55.22</v>
      </c>
      <c r="F58" s="38">
        <v>46175</v>
      </c>
      <c r="G58" s="21"/>
    </row>
    <row r="59" spans="1:7" hidden="1" x14ac:dyDescent="0.25">
      <c r="A59" s="21"/>
      <c r="B59" s="21">
        <v>7706</v>
      </c>
      <c r="C59" s="21" t="s">
        <v>14</v>
      </c>
      <c r="D59" s="21" t="s">
        <v>177</v>
      </c>
      <c r="E59" s="29">
        <v>8.5399999999999991</v>
      </c>
      <c r="F59" s="38">
        <v>46175</v>
      </c>
      <c r="G59" s="21"/>
    </row>
    <row r="60" spans="1:7" hidden="1" x14ac:dyDescent="0.25">
      <c r="A60" s="21"/>
      <c r="B60" s="21">
        <v>9994</v>
      </c>
      <c r="C60" s="22" t="s">
        <v>14</v>
      </c>
      <c r="D60" s="21" t="s">
        <v>157</v>
      </c>
      <c r="E60" s="29">
        <v>4.91</v>
      </c>
      <c r="F60" s="38">
        <v>46176</v>
      </c>
      <c r="G60" s="21"/>
    </row>
    <row r="61" spans="1:7" hidden="1" x14ac:dyDescent="0.25">
      <c r="A61" s="21"/>
      <c r="B61" s="21">
        <v>9994</v>
      </c>
      <c r="C61" s="21" t="s">
        <v>14</v>
      </c>
      <c r="D61" s="21" t="s">
        <v>178</v>
      </c>
      <c r="E61" s="29">
        <v>9.65</v>
      </c>
      <c r="F61" s="38">
        <v>46179</v>
      </c>
      <c r="G61" s="21"/>
    </row>
    <row r="62" spans="1:7" hidden="1" x14ac:dyDescent="0.25">
      <c r="A62" s="21"/>
      <c r="B62" s="21">
        <v>9994</v>
      </c>
      <c r="C62" s="21" t="s">
        <v>12</v>
      </c>
      <c r="D62" s="21" t="s">
        <v>179</v>
      </c>
      <c r="E62" s="29">
        <v>28.11</v>
      </c>
      <c r="F62" s="38">
        <v>46179</v>
      </c>
      <c r="G62" s="21"/>
    </row>
    <row r="63" spans="1:7" hidden="1" x14ac:dyDescent="0.25">
      <c r="A63" s="21"/>
      <c r="B63" s="21">
        <v>5397</v>
      </c>
      <c r="C63" s="21" t="s">
        <v>14</v>
      </c>
      <c r="D63" s="21" t="s">
        <v>171</v>
      </c>
      <c r="E63" s="29">
        <v>15.25</v>
      </c>
      <c r="F63" s="38">
        <v>46179</v>
      </c>
      <c r="G63" s="21"/>
    </row>
    <row r="64" spans="1:7" hidden="1" x14ac:dyDescent="0.25">
      <c r="A64" s="21"/>
      <c r="B64" s="21">
        <v>5397</v>
      </c>
      <c r="C64" s="21" t="s">
        <v>9</v>
      </c>
      <c r="D64" s="21" t="s">
        <v>180</v>
      </c>
      <c r="E64" s="29">
        <v>56.86</v>
      </c>
      <c r="F64" s="38">
        <v>46179</v>
      </c>
      <c r="G64" s="21"/>
    </row>
    <row r="65" spans="1:7" hidden="1" x14ac:dyDescent="0.25">
      <c r="A65" s="21"/>
      <c r="B65" s="21">
        <v>2513</v>
      </c>
      <c r="C65" s="21" t="s">
        <v>11</v>
      </c>
      <c r="D65" s="21" t="s">
        <v>181</v>
      </c>
      <c r="E65" s="29">
        <v>50</v>
      </c>
      <c r="F65" s="38">
        <v>46180</v>
      </c>
      <c r="G65" s="21"/>
    </row>
    <row r="66" spans="1:7" hidden="1" x14ac:dyDescent="0.25">
      <c r="A66" s="21"/>
      <c r="B66" s="21">
        <v>7706</v>
      </c>
      <c r="C66" s="21" t="s">
        <v>15</v>
      </c>
      <c r="D66" s="21" t="s">
        <v>182</v>
      </c>
      <c r="E66" s="29">
        <f>93.5+21.25+91.72</f>
        <v>206.47</v>
      </c>
      <c r="F66" s="38">
        <v>46180</v>
      </c>
      <c r="G66" s="21"/>
    </row>
    <row r="67" spans="1:7" hidden="1" x14ac:dyDescent="0.25">
      <c r="A67" s="21"/>
      <c r="B67" s="21">
        <v>7706</v>
      </c>
      <c r="C67" s="21" t="s">
        <v>8</v>
      </c>
      <c r="D67" s="21" t="s">
        <v>183</v>
      </c>
      <c r="E67" s="28">
        <v>54.19</v>
      </c>
      <c r="F67" s="38">
        <v>46180</v>
      </c>
      <c r="G67" s="21"/>
    </row>
    <row r="68" spans="1:7" hidden="1" x14ac:dyDescent="0.25">
      <c r="A68" s="21"/>
      <c r="B68" s="21">
        <v>7706</v>
      </c>
      <c r="C68" s="21" t="s">
        <v>8</v>
      </c>
      <c r="D68" s="21" t="s">
        <v>176</v>
      </c>
      <c r="E68" s="29">
        <v>127.22</v>
      </c>
      <c r="F68" s="38">
        <v>46180</v>
      </c>
      <c r="G68" s="21"/>
    </row>
    <row r="69" spans="1:7" hidden="1" x14ac:dyDescent="0.25">
      <c r="A69" s="21"/>
      <c r="B69" s="21">
        <v>9994</v>
      </c>
      <c r="C69" s="21" t="s">
        <v>14</v>
      </c>
      <c r="D69" s="21" t="s">
        <v>157</v>
      </c>
      <c r="E69" s="29">
        <v>7.25</v>
      </c>
      <c r="F69" s="38">
        <v>46183</v>
      </c>
      <c r="G69" s="21"/>
    </row>
    <row r="70" spans="1:7" hidden="1" x14ac:dyDescent="0.25">
      <c r="B70">
        <v>7706</v>
      </c>
      <c r="C70" t="s">
        <v>15</v>
      </c>
      <c r="D70" t="s">
        <v>266</v>
      </c>
      <c r="E70" s="2">
        <v>93.5</v>
      </c>
      <c r="F70" s="37">
        <v>46183</v>
      </c>
    </row>
    <row r="71" spans="1:7" hidden="1" x14ac:dyDescent="0.25">
      <c r="A71" s="21"/>
      <c r="B71" s="21">
        <v>3003</v>
      </c>
      <c r="C71" s="30" t="s">
        <v>15</v>
      </c>
      <c r="D71" s="30" t="s">
        <v>184</v>
      </c>
      <c r="E71" s="47">
        <v>100</v>
      </c>
      <c r="F71" s="48">
        <v>46188</v>
      </c>
      <c r="G71" s="21"/>
    </row>
    <row r="72" spans="1:7" hidden="1" x14ac:dyDescent="0.25">
      <c r="B72">
        <v>7706</v>
      </c>
      <c r="C72" t="s">
        <v>10</v>
      </c>
      <c r="D72" t="s">
        <v>267</v>
      </c>
      <c r="E72" s="2">
        <v>21.25</v>
      </c>
      <c r="F72" s="37">
        <v>46188</v>
      </c>
    </row>
    <row r="73" spans="1:7" hidden="1" x14ac:dyDescent="0.25">
      <c r="B73" s="21">
        <v>9994</v>
      </c>
      <c r="C73" t="s">
        <v>27</v>
      </c>
      <c r="D73" t="s">
        <v>206</v>
      </c>
      <c r="E73" s="42">
        <v>51.25</v>
      </c>
      <c r="F73" s="37">
        <v>46191</v>
      </c>
    </row>
    <row r="74" spans="1:7" hidden="1" x14ac:dyDescent="0.25">
      <c r="B74" s="21">
        <v>9994</v>
      </c>
      <c r="C74" t="s">
        <v>12</v>
      </c>
      <c r="D74" t="s">
        <v>203</v>
      </c>
      <c r="E74" s="2">
        <v>33.79</v>
      </c>
      <c r="F74" s="37">
        <v>46191</v>
      </c>
    </row>
    <row r="75" spans="1:7" hidden="1" x14ac:dyDescent="0.25">
      <c r="B75" s="21">
        <v>9994</v>
      </c>
      <c r="C75" t="s">
        <v>12</v>
      </c>
      <c r="D75" t="s">
        <v>203</v>
      </c>
      <c r="E75" s="2">
        <v>25.07</v>
      </c>
      <c r="F75" s="37">
        <v>46191</v>
      </c>
    </row>
    <row r="76" spans="1:7" hidden="1" x14ac:dyDescent="0.25">
      <c r="B76" s="21">
        <v>9994</v>
      </c>
      <c r="C76" t="s">
        <v>16</v>
      </c>
      <c r="D76" t="s">
        <v>57</v>
      </c>
      <c r="E76" s="2">
        <v>19.989999999999998</v>
      </c>
      <c r="F76" s="37">
        <v>46192</v>
      </c>
    </row>
    <row r="77" spans="1:7" hidden="1" x14ac:dyDescent="0.25">
      <c r="B77" s="21">
        <v>9994</v>
      </c>
      <c r="C77" t="s">
        <v>10</v>
      </c>
      <c r="D77" t="s">
        <v>95</v>
      </c>
      <c r="E77" s="2">
        <v>81.59</v>
      </c>
      <c r="F77" s="37">
        <v>46192</v>
      </c>
    </row>
    <row r="78" spans="1:7" hidden="1" x14ac:dyDescent="0.25">
      <c r="B78" s="21">
        <v>9994</v>
      </c>
      <c r="C78" t="s">
        <v>11</v>
      </c>
      <c r="D78" t="s">
        <v>56</v>
      </c>
      <c r="E78" s="2">
        <v>36.11</v>
      </c>
      <c r="F78" s="37">
        <v>46192</v>
      </c>
    </row>
    <row r="79" spans="1:7" hidden="1" x14ac:dyDescent="0.25">
      <c r="B79" s="21">
        <v>9994</v>
      </c>
      <c r="C79" t="s">
        <v>9</v>
      </c>
      <c r="D79" t="s">
        <v>202</v>
      </c>
      <c r="E79" s="2">
        <v>38.159999999999997</v>
      </c>
      <c r="F79" s="37">
        <v>46192</v>
      </c>
    </row>
    <row r="80" spans="1:7" hidden="1" x14ac:dyDescent="0.25">
      <c r="B80" s="21">
        <v>9994</v>
      </c>
      <c r="C80" t="s">
        <v>12</v>
      </c>
      <c r="D80" t="s">
        <v>210</v>
      </c>
      <c r="E80" s="2">
        <v>17.440000000000001</v>
      </c>
      <c r="F80" s="37">
        <v>46192</v>
      </c>
    </row>
    <row r="81" spans="1:7" hidden="1" x14ac:dyDescent="0.25">
      <c r="B81" s="21">
        <v>9994</v>
      </c>
      <c r="C81" t="s">
        <v>12</v>
      </c>
      <c r="D81" t="s">
        <v>210</v>
      </c>
      <c r="E81" s="2">
        <v>24.86</v>
      </c>
      <c r="F81" s="37">
        <v>46192</v>
      </c>
    </row>
    <row r="82" spans="1:7" hidden="1" x14ac:dyDescent="0.25">
      <c r="B82" s="21">
        <v>9994</v>
      </c>
      <c r="C82" t="s">
        <v>12</v>
      </c>
      <c r="D82" t="s">
        <v>207</v>
      </c>
      <c r="E82" s="2">
        <v>73.41</v>
      </c>
      <c r="F82" s="37">
        <v>46193</v>
      </c>
    </row>
    <row r="83" spans="1:7" hidden="1" x14ac:dyDescent="0.25">
      <c r="B83" s="21">
        <v>9994</v>
      </c>
      <c r="C83" t="s">
        <v>9</v>
      </c>
      <c r="D83" t="s">
        <v>208</v>
      </c>
      <c r="E83" s="2">
        <v>21.42</v>
      </c>
      <c r="F83" s="37">
        <v>46193</v>
      </c>
    </row>
    <row r="84" spans="1:7" hidden="1" x14ac:dyDescent="0.25">
      <c r="B84" s="21">
        <v>9994</v>
      </c>
      <c r="C84" t="s">
        <v>12</v>
      </c>
      <c r="D84" t="s">
        <v>207</v>
      </c>
      <c r="E84" s="2">
        <v>35.97</v>
      </c>
      <c r="F84" s="37">
        <v>46193</v>
      </c>
    </row>
    <row r="85" spans="1:7" hidden="1" x14ac:dyDescent="0.25">
      <c r="B85" s="21">
        <v>9994</v>
      </c>
      <c r="C85" t="s">
        <v>9</v>
      </c>
      <c r="D85" t="s">
        <v>209</v>
      </c>
      <c r="E85" s="2">
        <v>20.12</v>
      </c>
      <c r="F85" s="37">
        <v>46193</v>
      </c>
    </row>
    <row r="86" spans="1:7" hidden="1" x14ac:dyDescent="0.25">
      <c r="B86">
        <v>5397</v>
      </c>
      <c r="C86" t="s">
        <v>75</v>
      </c>
      <c r="D86" t="s">
        <v>213</v>
      </c>
      <c r="E86" s="2">
        <v>29.99</v>
      </c>
      <c r="F86" s="37">
        <v>46193</v>
      </c>
    </row>
    <row r="87" spans="1:7" hidden="1" x14ac:dyDescent="0.25">
      <c r="A87" s="21"/>
      <c r="B87" s="21">
        <v>9994</v>
      </c>
      <c r="C87" t="s">
        <v>16</v>
      </c>
      <c r="D87" s="21" t="s">
        <v>57</v>
      </c>
      <c r="E87" s="29">
        <v>2</v>
      </c>
      <c r="F87" s="38">
        <v>46194</v>
      </c>
      <c r="G87" s="21"/>
    </row>
    <row r="88" spans="1:7" hidden="1" x14ac:dyDescent="0.25">
      <c r="B88" s="21">
        <v>9994</v>
      </c>
      <c r="C88" t="s">
        <v>16</v>
      </c>
      <c r="D88" t="s">
        <v>57</v>
      </c>
      <c r="E88" s="2">
        <v>34.94</v>
      </c>
      <c r="F88" s="37">
        <v>46194</v>
      </c>
    </row>
    <row r="89" spans="1:7" hidden="1" x14ac:dyDescent="0.25">
      <c r="B89" s="21">
        <v>9994</v>
      </c>
      <c r="C89" t="s">
        <v>27</v>
      </c>
      <c r="D89" t="s">
        <v>206</v>
      </c>
      <c r="E89" s="2">
        <f>112.14+13.04</f>
        <v>125.18</v>
      </c>
      <c r="F89" s="37">
        <v>46194</v>
      </c>
    </row>
    <row r="90" spans="1:7" hidden="1" x14ac:dyDescent="0.25">
      <c r="A90" s="21"/>
      <c r="B90">
        <v>5397</v>
      </c>
      <c r="C90" t="s">
        <v>9</v>
      </c>
      <c r="D90" s="25" t="s">
        <v>211</v>
      </c>
      <c r="E90" s="36">
        <v>19.05</v>
      </c>
      <c r="F90" s="39">
        <v>46194</v>
      </c>
      <c r="G90" s="21"/>
    </row>
    <row r="91" spans="1:7" hidden="1" x14ac:dyDescent="0.25">
      <c r="B91">
        <v>5397</v>
      </c>
      <c r="C91" t="s">
        <v>75</v>
      </c>
      <c r="D91" t="s">
        <v>212</v>
      </c>
      <c r="E91" s="2">
        <v>9.73</v>
      </c>
      <c r="F91" s="37">
        <v>46194</v>
      </c>
    </row>
    <row r="92" spans="1:7" hidden="1" x14ac:dyDescent="0.25">
      <c r="B92">
        <v>5397</v>
      </c>
      <c r="C92" t="s">
        <v>75</v>
      </c>
      <c r="D92" t="s">
        <v>220</v>
      </c>
      <c r="E92" s="2">
        <v>6.36</v>
      </c>
      <c r="F92" s="37">
        <v>46195</v>
      </c>
    </row>
    <row r="93" spans="1:7" hidden="1" x14ac:dyDescent="0.25">
      <c r="B93">
        <v>7706</v>
      </c>
      <c r="C93" t="s">
        <v>10</v>
      </c>
      <c r="D93" t="s">
        <v>267</v>
      </c>
      <c r="E93" s="2">
        <v>91.72</v>
      </c>
      <c r="F93" s="37">
        <v>46197</v>
      </c>
    </row>
    <row r="94" spans="1:7" hidden="1" x14ac:dyDescent="0.25">
      <c r="B94">
        <v>5397</v>
      </c>
      <c r="C94" t="s">
        <v>9</v>
      </c>
      <c r="D94" t="s">
        <v>225</v>
      </c>
      <c r="E94" s="2">
        <v>24.8</v>
      </c>
      <c r="F94" s="37">
        <v>46201</v>
      </c>
    </row>
    <row r="95" spans="1:7" hidden="1" x14ac:dyDescent="0.25">
      <c r="B95">
        <v>5397</v>
      </c>
      <c r="C95" t="s">
        <v>16</v>
      </c>
      <c r="D95" t="s">
        <v>226</v>
      </c>
      <c r="E95" s="2">
        <v>14</v>
      </c>
      <c r="F95" s="37">
        <v>46201</v>
      </c>
    </row>
    <row r="96" spans="1:7" hidden="1" x14ac:dyDescent="0.25">
      <c r="B96">
        <v>5397</v>
      </c>
      <c r="C96" t="s">
        <v>9</v>
      </c>
      <c r="D96" t="s">
        <v>227</v>
      </c>
      <c r="E96" s="2">
        <v>31.7</v>
      </c>
      <c r="F96" s="37">
        <v>46201</v>
      </c>
    </row>
    <row r="97" spans="2:7" hidden="1" x14ac:dyDescent="0.25">
      <c r="B97">
        <v>5397</v>
      </c>
      <c r="C97" t="s">
        <v>6</v>
      </c>
      <c r="D97" t="s">
        <v>98</v>
      </c>
      <c r="E97" s="2">
        <v>67.67</v>
      </c>
      <c r="F97" s="37">
        <v>46201</v>
      </c>
    </row>
    <row r="98" spans="2:7" hidden="1" x14ac:dyDescent="0.25">
      <c r="B98">
        <v>5397</v>
      </c>
      <c r="C98" t="s">
        <v>6</v>
      </c>
      <c r="D98" t="s">
        <v>98</v>
      </c>
      <c r="E98" s="2">
        <v>62.21</v>
      </c>
      <c r="F98" s="37">
        <v>46201</v>
      </c>
    </row>
    <row r="99" spans="2:7" hidden="1" x14ac:dyDescent="0.25">
      <c r="B99">
        <v>5397</v>
      </c>
      <c r="C99" t="s">
        <v>14</v>
      </c>
      <c r="D99" t="s">
        <v>228</v>
      </c>
      <c r="E99" s="2">
        <v>15.22</v>
      </c>
      <c r="F99" s="37">
        <v>46201</v>
      </c>
    </row>
    <row r="100" spans="2:7" hidden="1" x14ac:dyDescent="0.25">
      <c r="B100">
        <v>5397</v>
      </c>
      <c r="C100" t="s">
        <v>17</v>
      </c>
      <c r="D100" t="s">
        <v>226</v>
      </c>
      <c r="E100" s="2">
        <v>14</v>
      </c>
      <c r="F100" s="37">
        <v>46201</v>
      </c>
    </row>
    <row r="101" spans="2:7" hidden="1" x14ac:dyDescent="0.25">
      <c r="B101">
        <v>5397</v>
      </c>
      <c r="C101" t="s">
        <v>9</v>
      </c>
      <c r="D101" t="s">
        <v>225</v>
      </c>
      <c r="E101" s="2">
        <v>24.8</v>
      </c>
      <c r="F101" s="37">
        <v>46201</v>
      </c>
    </row>
    <row r="102" spans="2:7" hidden="1" x14ac:dyDescent="0.25">
      <c r="B102">
        <v>5397</v>
      </c>
      <c r="C102" t="s">
        <v>8</v>
      </c>
      <c r="D102" t="s">
        <v>83</v>
      </c>
      <c r="E102" s="2">
        <v>121.53</v>
      </c>
      <c r="F102" s="37">
        <v>46202</v>
      </c>
      <c r="G102" s="21"/>
    </row>
    <row r="103" spans="2:7" hidden="1" x14ac:dyDescent="0.25">
      <c r="B103">
        <v>5397</v>
      </c>
      <c r="C103" t="s">
        <v>9</v>
      </c>
      <c r="D103" t="s">
        <v>153</v>
      </c>
      <c r="E103" s="2">
        <v>9.9499999999999993</v>
      </c>
      <c r="F103" s="37">
        <v>46203</v>
      </c>
    </row>
    <row r="104" spans="2:7" hidden="1" x14ac:dyDescent="0.25">
      <c r="B104">
        <v>5397</v>
      </c>
      <c r="C104" t="s">
        <v>6</v>
      </c>
      <c r="D104" t="s">
        <v>147</v>
      </c>
      <c r="E104" s="2">
        <v>39.619999999999997</v>
      </c>
      <c r="F104" s="37">
        <v>46203</v>
      </c>
    </row>
    <row r="105" spans="2:7" hidden="1" x14ac:dyDescent="0.25">
      <c r="B105">
        <v>5397</v>
      </c>
      <c r="C105" t="s">
        <v>11</v>
      </c>
      <c r="D105" t="s">
        <v>216</v>
      </c>
      <c r="E105" s="2">
        <v>26.99</v>
      </c>
      <c r="F105" s="37">
        <v>46204</v>
      </c>
    </row>
    <row r="106" spans="2:7" hidden="1" x14ac:dyDescent="0.25">
      <c r="B106">
        <v>5397</v>
      </c>
      <c r="C106" t="s">
        <v>14</v>
      </c>
      <c r="D106" t="s">
        <v>198</v>
      </c>
      <c r="E106" s="2">
        <v>8.6199999999999992</v>
      </c>
      <c r="F106" s="37">
        <v>46205</v>
      </c>
    </row>
    <row r="107" spans="2:7" hidden="1" x14ac:dyDescent="0.25">
      <c r="B107">
        <v>5397</v>
      </c>
      <c r="C107" t="s">
        <v>14</v>
      </c>
      <c r="D107" t="s">
        <v>157</v>
      </c>
      <c r="E107" s="2">
        <v>8.9600000000000009</v>
      </c>
      <c r="F107" s="37">
        <v>46205</v>
      </c>
    </row>
    <row r="108" spans="2:7" hidden="1" x14ac:dyDescent="0.25">
      <c r="B108">
        <v>5397</v>
      </c>
      <c r="C108" t="s">
        <v>14</v>
      </c>
      <c r="D108" t="s">
        <v>237</v>
      </c>
      <c r="E108" s="2">
        <v>15.39</v>
      </c>
      <c r="F108" s="37">
        <v>46207</v>
      </c>
    </row>
    <row r="109" spans="2:7" hidden="1" x14ac:dyDescent="0.25">
      <c r="B109">
        <v>5397</v>
      </c>
      <c r="C109" t="s">
        <v>9</v>
      </c>
      <c r="D109" t="s">
        <v>236</v>
      </c>
      <c r="E109" s="2">
        <v>117.92</v>
      </c>
      <c r="F109" s="37">
        <v>46207</v>
      </c>
    </row>
    <row r="110" spans="2:7" hidden="1" x14ac:dyDescent="0.25">
      <c r="B110">
        <v>5397</v>
      </c>
      <c r="C110" t="s">
        <v>12</v>
      </c>
      <c r="D110" t="s">
        <v>235</v>
      </c>
      <c r="E110" s="2">
        <v>21.98</v>
      </c>
      <c r="F110" s="37">
        <v>46208</v>
      </c>
    </row>
    <row r="111" spans="2:7" hidden="1" x14ac:dyDescent="0.25">
      <c r="B111">
        <v>5397</v>
      </c>
      <c r="C111" t="s">
        <v>17</v>
      </c>
      <c r="D111" t="s">
        <v>234</v>
      </c>
      <c r="E111" s="2">
        <v>27</v>
      </c>
      <c r="F111" s="37">
        <v>46208</v>
      </c>
    </row>
    <row r="112" spans="2:7" hidden="1" x14ac:dyDescent="0.25">
      <c r="B112">
        <v>5397</v>
      </c>
      <c r="C112" t="s">
        <v>14</v>
      </c>
      <c r="D112" t="s">
        <v>157</v>
      </c>
      <c r="E112" s="2">
        <v>0.74</v>
      </c>
      <c r="F112" s="37">
        <v>46208</v>
      </c>
    </row>
    <row r="113" spans="2:7" hidden="1" x14ac:dyDescent="0.25">
      <c r="B113">
        <v>5397</v>
      </c>
      <c r="C113" t="s">
        <v>6</v>
      </c>
      <c r="D113" t="s">
        <v>147</v>
      </c>
      <c r="E113" s="2">
        <v>117.22</v>
      </c>
      <c r="F113" s="37">
        <v>46208</v>
      </c>
    </row>
    <row r="114" spans="2:7" hidden="1" x14ac:dyDescent="0.25">
      <c r="B114">
        <v>5397</v>
      </c>
      <c r="C114" t="s">
        <v>12</v>
      </c>
      <c r="D114" t="s">
        <v>78</v>
      </c>
      <c r="E114" s="2">
        <v>95.97</v>
      </c>
      <c r="F114" s="37">
        <v>46209</v>
      </c>
      <c r="G114" s="21"/>
    </row>
    <row r="115" spans="2:7" hidden="1" x14ac:dyDescent="0.25">
      <c r="B115">
        <v>5397</v>
      </c>
      <c r="C115" t="s">
        <v>17</v>
      </c>
      <c r="D115" t="s">
        <v>164</v>
      </c>
      <c r="E115" s="2">
        <v>54.18</v>
      </c>
      <c r="F115" s="37">
        <v>46209</v>
      </c>
    </row>
    <row r="116" spans="2:7" hidden="1" x14ac:dyDescent="0.25">
      <c r="B116">
        <v>5397</v>
      </c>
      <c r="C116" t="s">
        <v>14</v>
      </c>
      <c r="D116" t="s">
        <v>157</v>
      </c>
      <c r="E116" s="2">
        <v>4.8</v>
      </c>
      <c r="F116" s="37">
        <v>46209</v>
      </c>
      <c r="G116" s="21"/>
    </row>
    <row r="117" spans="2:7" hidden="1" x14ac:dyDescent="0.25">
      <c r="B117">
        <v>7706</v>
      </c>
      <c r="C117" t="s">
        <v>137</v>
      </c>
      <c r="D117" t="s">
        <v>138</v>
      </c>
      <c r="E117" s="2">
        <v>412.69</v>
      </c>
      <c r="F117" s="37">
        <v>46209</v>
      </c>
    </row>
    <row r="118" spans="2:7" hidden="1" x14ac:dyDescent="0.25">
      <c r="B118">
        <v>2513</v>
      </c>
      <c r="C118" t="s">
        <v>5</v>
      </c>
      <c r="D118" t="s">
        <v>151</v>
      </c>
      <c r="E118" s="2">
        <v>173.46</v>
      </c>
      <c r="F118" s="37">
        <v>46210</v>
      </c>
    </row>
    <row r="119" spans="2:7" hidden="1" x14ac:dyDescent="0.25">
      <c r="B119">
        <v>5397</v>
      </c>
      <c r="C119" t="s">
        <v>14</v>
      </c>
      <c r="D119" t="s">
        <v>238</v>
      </c>
      <c r="E119" s="2">
        <v>11.74</v>
      </c>
      <c r="F119" s="37">
        <v>46210</v>
      </c>
    </row>
    <row r="120" spans="2:7" hidden="1" x14ac:dyDescent="0.25">
      <c r="B120">
        <v>9994</v>
      </c>
      <c r="C120" t="s">
        <v>14</v>
      </c>
      <c r="D120" t="s">
        <v>157</v>
      </c>
      <c r="E120" s="2">
        <v>4.16</v>
      </c>
      <c r="F120" s="37">
        <v>46212</v>
      </c>
    </row>
    <row r="121" spans="2:7" hidden="1" x14ac:dyDescent="0.25">
      <c r="B121">
        <v>5397</v>
      </c>
      <c r="C121" t="s">
        <v>10</v>
      </c>
      <c r="D121" t="s">
        <v>265</v>
      </c>
      <c r="E121" s="2">
        <v>15.94</v>
      </c>
      <c r="F121" s="37">
        <v>46212</v>
      </c>
    </row>
    <row r="122" spans="2:7" hidden="1" x14ac:dyDescent="0.25">
      <c r="B122">
        <v>5397</v>
      </c>
      <c r="C122" t="s">
        <v>12</v>
      </c>
      <c r="D122" t="s">
        <v>264</v>
      </c>
      <c r="E122" s="2">
        <v>6.89</v>
      </c>
      <c r="F122" s="37">
        <v>46213</v>
      </c>
    </row>
    <row r="123" spans="2:7" hidden="1" x14ac:dyDescent="0.25">
      <c r="B123">
        <v>5397</v>
      </c>
      <c r="C123" t="s">
        <v>14</v>
      </c>
      <c r="D123" t="s">
        <v>246</v>
      </c>
      <c r="E123" s="2">
        <v>29</v>
      </c>
      <c r="F123" s="37">
        <v>46213</v>
      </c>
    </row>
    <row r="124" spans="2:7" hidden="1" x14ac:dyDescent="0.25">
      <c r="B124">
        <v>5397</v>
      </c>
      <c r="C124" t="s">
        <v>16</v>
      </c>
      <c r="D124" t="s">
        <v>226</v>
      </c>
      <c r="E124" s="2">
        <v>12</v>
      </c>
      <c r="F124" s="37">
        <v>46213</v>
      </c>
    </row>
    <row r="125" spans="2:7" hidden="1" x14ac:dyDescent="0.25">
      <c r="B125">
        <v>9994</v>
      </c>
      <c r="C125" t="s">
        <v>17</v>
      </c>
      <c r="D125" t="s">
        <v>250</v>
      </c>
      <c r="E125" s="2">
        <v>1</v>
      </c>
      <c r="F125" s="37">
        <v>46214</v>
      </c>
    </row>
    <row r="126" spans="2:7" hidden="1" x14ac:dyDescent="0.25">
      <c r="B126">
        <v>7706</v>
      </c>
      <c r="C126" t="s">
        <v>15</v>
      </c>
      <c r="D126" t="s">
        <v>266</v>
      </c>
      <c r="E126" s="2">
        <v>42.5</v>
      </c>
      <c r="F126" s="37">
        <v>46214</v>
      </c>
    </row>
    <row r="127" spans="2:7" hidden="1" x14ac:dyDescent="0.25">
      <c r="B127">
        <v>9994</v>
      </c>
      <c r="C127" t="s">
        <v>16</v>
      </c>
      <c r="D127" t="s">
        <v>57</v>
      </c>
      <c r="E127" s="2">
        <v>5</v>
      </c>
      <c r="F127" s="37">
        <v>46214</v>
      </c>
    </row>
    <row r="128" spans="2:7" hidden="1" x14ac:dyDescent="0.25">
      <c r="B128">
        <v>5397</v>
      </c>
      <c r="C128" t="s">
        <v>14</v>
      </c>
      <c r="D128" t="s">
        <v>258</v>
      </c>
      <c r="E128" s="2">
        <v>12.33</v>
      </c>
      <c r="F128" s="37">
        <v>46215</v>
      </c>
    </row>
    <row r="129" spans="2:7" hidden="1" x14ac:dyDescent="0.25">
      <c r="B129">
        <v>9994</v>
      </c>
      <c r="C129" t="s">
        <v>13</v>
      </c>
      <c r="D129" t="s">
        <v>64</v>
      </c>
      <c r="E129" s="2">
        <v>6.36</v>
      </c>
      <c r="F129" s="37">
        <v>46215</v>
      </c>
    </row>
    <row r="130" spans="2:7" hidden="1" x14ac:dyDescent="0.25">
      <c r="B130">
        <v>9994</v>
      </c>
      <c r="C130" t="s">
        <v>8</v>
      </c>
      <c r="D130" t="s">
        <v>30</v>
      </c>
      <c r="E130" s="2">
        <v>91.61</v>
      </c>
      <c r="F130" s="37">
        <v>46215</v>
      </c>
    </row>
    <row r="131" spans="2:7" hidden="1" x14ac:dyDescent="0.25">
      <c r="B131">
        <v>5397</v>
      </c>
      <c r="C131" t="s">
        <v>16</v>
      </c>
      <c r="D131" t="s">
        <v>226</v>
      </c>
      <c r="E131" s="2">
        <v>21</v>
      </c>
      <c r="F131" s="37">
        <v>46215</v>
      </c>
    </row>
    <row r="132" spans="2:7" hidden="1" x14ac:dyDescent="0.25">
      <c r="B132">
        <v>5397</v>
      </c>
      <c r="C132" t="s">
        <v>16</v>
      </c>
      <c r="D132" t="s">
        <v>226</v>
      </c>
      <c r="E132" s="2">
        <v>12</v>
      </c>
      <c r="F132" s="37">
        <v>46215</v>
      </c>
    </row>
    <row r="133" spans="2:7" hidden="1" x14ac:dyDescent="0.25">
      <c r="B133">
        <v>9994</v>
      </c>
      <c r="C133" t="s">
        <v>17</v>
      </c>
      <c r="D133" t="s">
        <v>254</v>
      </c>
      <c r="E133" s="2">
        <v>48.72</v>
      </c>
      <c r="F133" s="37">
        <v>46216</v>
      </c>
    </row>
    <row r="134" spans="2:7" hidden="1" x14ac:dyDescent="0.25">
      <c r="B134">
        <v>9994</v>
      </c>
      <c r="C134" t="s">
        <v>14</v>
      </c>
      <c r="D134" t="s">
        <v>157</v>
      </c>
      <c r="E134" s="2">
        <v>4.7</v>
      </c>
      <c r="F134" s="37">
        <v>46218</v>
      </c>
    </row>
    <row r="135" spans="2:7" hidden="1" x14ac:dyDescent="0.25">
      <c r="B135">
        <v>9994</v>
      </c>
      <c r="C135" t="s">
        <v>12</v>
      </c>
      <c r="D135" t="s">
        <v>256</v>
      </c>
      <c r="E135" s="2">
        <v>43.35</v>
      </c>
      <c r="F135" s="37">
        <v>46220</v>
      </c>
    </row>
    <row r="136" spans="2:7" hidden="1" x14ac:dyDescent="0.25">
      <c r="B136">
        <v>9994</v>
      </c>
      <c r="C136" t="s">
        <v>12</v>
      </c>
      <c r="D136" s="4" t="s">
        <v>257</v>
      </c>
      <c r="E136" s="2">
        <v>23.4</v>
      </c>
      <c r="F136" s="37">
        <v>46220</v>
      </c>
    </row>
    <row r="137" spans="2:7" hidden="1" x14ac:dyDescent="0.25">
      <c r="B137">
        <v>9994</v>
      </c>
      <c r="C137" t="s">
        <v>12</v>
      </c>
      <c r="D137" s="4" t="s">
        <v>257</v>
      </c>
      <c r="E137" s="2">
        <v>32.1</v>
      </c>
      <c r="F137" s="37">
        <v>46220</v>
      </c>
    </row>
    <row r="138" spans="2:7" hidden="1" x14ac:dyDescent="0.25">
      <c r="B138">
        <v>9994</v>
      </c>
      <c r="C138" t="s">
        <v>12</v>
      </c>
      <c r="D138" s="4" t="s">
        <v>257</v>
      </c>
      <c r="E138" s="2">
        <v>25.4</v>
      </c>
      <c r="F138" s="37">
        <v>46220</v>
      </c>
    </row>
    <row r="139" spans="2:7" hidden="1" x14ac:dyDescent="0.25">
      <c r="B139">
        <v>9994</v>
      </c>
      <c r="C139" t="s">
        <v>12</v>
      </c>
      <c r="D139" s="4" t="s">
        <v>257</v>
      </c>
      <c r="E139" s="2">
        <v>51.08</v>
      </c>
      <c r="F139" s="37">
        <v>46220</v>
      </c>
    </row>
    <row r="140" spans="2:7" hidden="1" x14ac:dyDescent="0.25">
      <c r="B140">
        <v>9994</v>
      </c>
      <c r="C140" t="s">
        <v>16</v>
      </c>
      <c r="D140" s="4" t="s">
        <v>57</v>
      </c>
      <c r="E140" s="2">
        <v>30.55</v>
      </c>
      <c r="F140" s="37">
        <v>46220</v>
      </c>
    </row>
    <row r="141" spans="2:7" hidden="1" x14ac:dyDescent="0.25">
      <c r="B141">
        <v>9994</v>
      </c>
      <c r="C141" t="s">
        <v>6</v>
      </c>
      <c r="D141" t="s">
        <v>147</v>
      </c>
      <c r="E141" s="2">
        <v>22.41</v>
      </c>
      <c r="F141" s="37">
        <v>46221</v>
      </c>
    </row>
    <row r="142" spans="2:7" hidden="1" x14ac:dyDescent="0.25">
      <c r="B142">
        <v>9994</v>
      </c>
      <c r="C142" t="s">
        <v>12</v>
      </c>
      <c r="D142" t="s">
        <v>256</v>
      </c>
      <c r="E142" s="2">
        <v>51.35</v>
      </c>
      <c r="F142" s="37">
        <v>46221</v>
      </c>
    </row>
    <row r="143" spans="2:7" hidden="1" x14ac:dyDescent="0.25">
      <c r="B143">
        <v>9994</v>
      </c>
      <c r="C143" t="s">
        <v>9</v>
      </c>
      <c r="D143" t="s">
        <v>514</v>
      </c>
      <c r="E143" s="2">
        <v>59.06</v>
      </c>
      <c r="F143" s="37">
        <v>46222</v>
      </c>
    </row>
    <row r="144" spans="2:7" hidden="1" x14ac:dyDescent="0.25">
      <c r="B144">
        <v>9994</v>
      </c>
      <c r="C144" t="s">
        <v>17</v>
      </c>
      <c r="D144" t="s">
        <v>515</v>
      </c>
      <c r="E144" s="2">
        <v>5.45</v>
      </c>
      <c r="F144" s="37">
        <v>46222</v>
      </c>
      <c r="G144" s="21"/>
    </row>
    <row r="145" spans="2:6" hidden="1" x14ac:dyDescent="0.25">
      <c r="B145">
        <v>9994</v>
      </c>
      <c r="C145" t="s">
        <v>9</v>
      </c>
      <c r="D145" t="s">
        <v>516</v>
      </c>
      <c r="E145" s="2">
        <v>9.9499999999999993</v>
      </c>
      <c r="F145" s="37">
        <v>46222</v>
      </c>
    </row>
    <row r="146" spans="2:6" hidden="1" x14ac:dyDescent="0.25">
      <c r="B146">
        <v>9994</v>
      </c>
      <c r="C146" t="s">
        <v>6</v>
      </c>
      <c r="D146" t="s">
        <v>147</v>
      </c>
      <c r="E146" s="2">
        <v>105.21</v>
      </c>
      <c r="F146" s="37">
        <v>46222</v>
      </c>
    </row>
    <row r="147" spans="2:6" hidden="1" x14ac:dyDescent="0.25">
      <c r="B147">
        <v>5397</v>
      </c>
      <c r="C147" t="s">
        <v>11</v>
      </c>
      <c r="D147" t="s">
        <v>216</v>
      </c>
      <c r="E147" s="2">
        <v>25</v>
      </c>
      <c r="F147" s="37">
        <v>46223</v>
      </c>
    </row>
    <row r="148" spans="2:6" hidden="1" x14ac:dyDescent="0.25">
      <c r="B148">
        <v>5397</v>
      </c>
      <c r="C148" t="s">
        <v>75</v>
      </c>
      <c r="D148" s="2" t="s">
        <v>513</v>
      </c>
      <c r="E148" s="2">
        <v>29.99</v>
      </c>
      <c r="F148" s="37">
        <v>46224</v>
      </c>
    </row>
    <row r="149" spans="2:6" hidden="1" x14ac:dyDescent="0.25">
      <c r="B149">
        <v>5397</v>
      </c>
      <c r="C149" t="s">
        <v>17</v>
      </c>
      <c r="D149" t="s">
        <v>169</v>
      </c>
      <c r="E149" s="2">
        <v>10</v>
      </c>
      <c r="F149" s="37">
        <v>46225</v>
      </c>
    </row>
    <row r="150" spans="2:6" hidden="1" x14ac:dyDescent="0.25">
      <c r="B150">
        <v>9994</v>
      </c>
      <c r="C150" t="s">
        <v>75</v>
      </c>
      <c r="D150" t="s">
        <v>517</v>
      </c>
      <c r="E150" s="2">
        <v>82.99</v>
      </c>
      <c r="F150" s="37">
        <v>46226</v>
      </c>
    </row>
    <row r="151" spans="2:6" hidden="1" x14ac:dyDescent="0.25">
      <c r="B151">
        <v>9994</v>
      </c>
      <c r="D151" t="s">
        <v>157</v>
      </c>
      <c r="E151" s="2">
        <v>4.16</v>
      </c>
      <c r="F151" s="37">
        <v>46226</v>
      </c>
    </row>
    <row r="152" spans="2:6" hidden="1" x14ac:dyDescent="0.25">
      <c r="B152">
        <v>7706</v>
      </c>
      <c r="C152" t="s">
        <v>75</v>
      </c>
      <c r="D152" t="s">
        <v>267</v>
      </c>
      <c r="E152" s="2">
        <v>106.25</v>
      </c>
      <c r="F152" s="37">
        <v>46227</v>
      </c>
    </row>
    <row r="153" spans="2:6" hidden="1" x14ac:dyDescent="0.25">
      <c r="B153">
        <v>9994</v>
      </c>
      <c r="C153" t="s">
        <v>11</v>
      </c>
      <c r="D153" t="s">
        <v>56</v>
      </c>
      <c r="E153" s="2">
        <v>12.09</v>
      </c>
      <c r="F153" s="37">
        <v>46228</v>
      </c>
    </row>
    <row r="154" spans="2:6" hidden="1" x14ac:dyDescent="0.25">
      <c r="B154">
        <v>9994</v>
      </c>
      <c r="C154" t="s">
        <v>14</v>
      </c>
      <c r="D154" t="s">
        <v>552</v>
      </c>
      <c r="E154" s="2">
        <v>9.73</v>
      </c>
      <c r="F154" s="37">
        <v>46228</v>
      </c>
    </row>
    <row r="155" spans="2:6" hidden="1" x14ac:dyDescent="0.25">
      <c r="B155">
        <v>9994</v>
      </c>
      <c r="C155" t="s">
        <v>9</v>
      </c>
      <c r="D155" t="s">
        <v>542</v>
      </c>
      <c r="E155" s="2">
        <v>18.46</v>
      </c>
      <c r="F155" s="37">
        <v>46228</v>
      </c>
    </row>
    <row r="156" spans="2:6" hidden="1" x14ac:dyDescent="0.25">
      <c r="B156">
        <v>9994</v>
      </c>
      <c r="C156" t="s">
        <v>11</v>
      </c>
      <c r="D156" t="s">
        <v>553</v>
      </c>
      <c r="E156" s="2">
        <v>18</v>
      </c>
      <c r="F156" s="37">
        <v>46228</v>
      </c>
    </row>
    <row r="157" spans="2:6" hidden="1" x14ac:dyDescent="0.25">
      <c r="B157">
        <v>9994</v>
      </c>
      <c r="C157" t="s">
        <v>17</v>
      </c>
      <c r="D157" t="s">
        <v>515</v>
      </c>
      <c r="E157" s="2">
        <v>15</v>
      </c>
      <c r="F157" s="37">
        <v>46228</v>
      </c>
    </row>
    <row r="158" spans="2:6" hidden="1" x14ac:dyDescent="0.25">
      <c r="B158">
        <v>9994</v>
      </c>
      <c r="C158" t="s">
        <v>17</v>
      </c>
      <c r="D158" t="s">
        <v>554</v>
      </c>
      <c r="E158" s="2">
        <v>1.25</v>
      </c>
      <c r="F158" s="37">
        <v>46228</v>
      </c>
    </row>
    <row r="159" spans="2:6" hidden="1" x14ac:dyDescent="0.25">
      <c r="B159">
        <v>9994</v>
      </c>
      <c r="C159" t="s">
        <v>9</v>
      </c>
      <c r="D159" t="s">
        <v>555</v>
      </c>
      <c r="E159" s="2">
        <v>101.29</v>
      </c>
      <c r="F159" s="37">
        <v>46228</v>
      </c>
    </row>
    <row r="160" spans="2:6" hidden="1" x14ac:dyDescent="0.25">
      <c r="B160">
        <v>9994</v>
      </c>
      <c r="C160" t="s">
        <v>11</v>
      </c>
      <c r="D160" t="s">
        <v>556</v>
      </c>
      <c r="E160" s="2">
        <v>5.93</v>
      </c>
      <c r="F160" s="37">
        <v>46228</v>
      </c>
    </row>
    <row r="161" spans="2:7" hidden="1" x14ac:dyDescent="0.25">
      <c r="B161">
        <v>9994</v>
      </c>
      <c r="C161" t="s">
        <v>12</v>
      </c>
      <c r="D161" t="s">
        <v>551</v>
      </c>
      <c r="E161" s="2">
        <v>39.520000000000003</v>
      </c>
      <c r="F161" s="37">
        <v>46229</v>
      </c>
    </row>
    <row r="162" spans="2:7" hidden="1" x14ac:dyDescent="0.25">
      <c r="B162">
        <v>9994</v>
      </c>
      <c r="C162" t="s">
        <v>17</v>
      </c>
      <c r="D162" t="s">
        <v>74</v>
      </c>
      <c r="E162" s="2">
        <v>51.48</v>
      </c>
      <c r="F162" s="37">
        <v>46229</v>
      </c>
    </row>
    <row r="163" spans="2:7" hidden="1" x14ac:dyDescent="0.25">
      <c r="B163">
        <v>9994</v>
      </c>
      <c r="C163" t="s">
        <v>6</v>
      </c>
      <c r="D163" t="s">
        <v>98</v>
      </c>
      <c r="E163" s="2">
        <v>139.46</v>
      </c>
      <c r="F163" s="37">
        <v>46229</v>
      </c>
    </row>
    <row r="164" spans="2:7" hidden="1" x14ac:dyDescent="0.25">
      <c r="B164">
        <v>9994</v>
      </c>
      <c r="C164" t="s">
        <v>12</v>
      </c>
      <c r="D164" t="s">
        <v>189</v>
      </c>
      <c r="E164" s="2">
        <v>34.29</v>
      </c>
      <c r="F164" s="37">
        <v>46229</v>
      </c>
    </row>
    <row r="165" spans="2:7" hidden="1" x14ac:dyDescent="0.25">
      <c r="B165">
        <v>9994</v>
      </c>
      <c r="C165" t="s">
        <v>14</v>
      </c>
      <c r="D165" t="s">
        <v>157</v>
      </c>
      <c r="E165" s="2">
        <v>6.72</v>
      </c>
      <c r="F165" s="37">
        <v>46230</v>
      </c>
      <c r="G165" s="21"/>
    </row>
    <row r="166" spans="2:7" hidden="1" x14ac:dyDescent="0.25">
      <c r="B166">
        <v>9994</v>
      </c>
      <c r="C166" t="s">
        <v>14</v>
      </c>
      <c r="D166" t="s">
        <v>157</v>
      </c>
      <c r="E166" s="2">
        <v>5.29</v>
      </c>
      <c r="F166" s="37">
        <v>46232</v>
      </c>
    </row>
    <row r="167" spans="2:7" hidden="1" x14ac:dyDescent="0.25">
      <c r="B167">
        <v>9994</v>
      </c>
      <c r="C167" t="s">
        <v>14</v>
      </c>
      <c r="D167" t="s">
        <v>157</v>
      </c>
      <c r="E167" s="2">
        <v>4.16</v>
      </c>
      <c r="F167" s="37">
        <v>46233</v>
      </c>
    </row>
    <row r="168" spans="2:7" hidden="1" x14ac:dyDescent="0.25">
      <c r="B168">
        <v>9994</v>
      </c>
      <c r="C168" t="s">
        <v>584</v>
      </c>
      <c r="D168" t="s">
        <v>570</v>
      </c>
      <c r="E168" s="2">
        <v>293.47000000000003</v>
      </c>
      <c r="F168" s="37">
        <v>46233</v>
      </c>
    </row>
    <row r="169" spans="2:7" hidden="1" x14ac:dyDescent="0.25">
      <c r="B169">
        <v>9994</v>
      </c>
      <c r="C169" t="s">
        <v>9</v>
      </c>
      <c r="D169" t="s">
        <v>572</v>
      </c>
      <c r="E169" s="2">
        <v>49.25</v>
      </c>
      <c r="F169" s="37">
        <v>46234</v>
      </c>
    </row>
    <row r="170" spans="2:7" hidden="1" x14ac:dyDescent="0.25">
      <c r="B170">
        <v>9994</v>
      </c>
      <c r="C170" t="s">
        <v>14</v>
      </c>
      <c r="D170" t="s">
        <v>107</v>
      </c>
      <c r="E170" s="2">
        <v>16.170000000000002</v>
      </c>
      <c r="F170" s="37">
        <v>46234</v>
      </c>
    </row>
    <row r="171" spans="2:7" x14ac:dyDescent="0.25">
      <c r="B171">
        <v>5397</v>
      </c>
      <c r="C171" t="s">
        <v>11</v>
      </c>
      <c r="D171" t="s">
        <v>566</v>
      </c>
      <c r="E171" s="2">
        <v>49.99</v>
      </c>
      <c r="F171" s="37">
        <v>46235</v>
      </c>
    </row>
    <row r="172" spans="2:7" x14ac:dyDescent="0.25">
      <c r="B172">
        <v>5397</v>
      </c>
      <c r="C172" t="s">
        <v>14</v>
      </c>
      <c r="D172" t="s">
        <v>198</v>
      </c>
      <c r="E172" s="2">
        <v>12.98</v>
      </c>
      <c r="F172" s="37">
        <v>46235</v>
      </c>
    </row>
    <row r="173" spans="2:7" x14ac:dyDescent="0.25">
      <c r="B173">
        <v>5397</v>
      </c>
      <c r="C173" t="s">
        <v>12</v>
      </c>
      <c r="D173" t="s">
        <v>565</v>
      </c>
      <c r="E173" s="2">
        <v>47.18</v>
      </c>
      <c r="F173" s="37">
        <v>46235</v>
      </c>
    </row>
    <row r="174" spans="2:7" x14ac:dyDescent="0.25">
      <c r="B174">
        <v>5397</v>
      </c>
      <c r="C174" t="s">
        <v>11</v>
      </c>
      <c r="D174" t="s">
        <v>566</v>
      </c>
      <c r="E174" s="2">
        <v>25</v>
      </c>
      <c r="F174" s="37">
        <v>46235</v>
      </c>
    </row>
    <row r="175" spans="2:7" x14ac:dyDescent="0.25">
      <c r="B175">
        <v>9994</v>
      </c>
      <c r="C175" t="s">
        <v>14</v>
      </c>
      <c r="D175" t="s">
        <v>582</v>
      </c>
      <c r="E175" s="2">
        <v>2.25</v>
      </c>
      <c r="F175" s="37">
        <v>46238</v>
      </c>
    </row>
    <row r="176" spans="2:7" x14ac:dyDescent="0.25">
      <c r="B176">
        <v>5397</v>
      </c>
      <c r="C176" t="s">
        <v>12</v>
      </c>
      <c r="D176" t="s">
        <v>585</v>
      </c>
      <c r="E176" s="2">
        <v>28</v>
      </c>
      <c r="F176" s="37">
        <v>46238</v>
      </c>
    </row>
    <row r="177" spans="1:6" x14ac:dyDescent="0.25">
      <c r="B177">
        <v>5397</v>
      </c>
      <c r="C177" t="s">
        <v>9</v>
      </c>
      <c r="D177" t="s">
        <v>586</v>
      </c>
      <c r="E177" s="2">
        <v>28.22</v>
      </c>
      <c r="F177" s="37">
        <v>46238</v>
      </c>
    </row>
    <row r="178" spans="1:6" x14ac:dyDescent="0.25">
      <c r="B178">
        <v>2513</v>
      </c>
      <c r="C178" t="s">
        <v>5</v>
      </c>
      <c r="D178" t="s">
        <v>151</v>
      </c>
      <c r="E178" s="2">
        <v>173.46</v>
      </c>
      <c r="F178" s="37">
        <v>46238</v>
      </c>
    </row>
    <row r="179" spans="1:6" x14ac:dyDescent="0.25">
      <c r="B179">
        <v>5397</v>
      </c>
      <c r="C179" t="s">
        <v>9</v>
      </c>
      <c r="D179" t="s">
        <v>153</v>
      </c>
      <c r="E179" s="2">
        <v>12.49</v>
      </c>
      <c r="F179" s="37">
        <v>46239</v>
      </c>
    </row>
    <row r="180" spans="1:6" x14ac:dyDescent="0.25">
      <c r="B180">
        <v>9994</v>
      </c>
      <c r="C180" t="s">
        <v>14</v>
      </c>
      <c r="D180" t="s">
        <v>46</v>
      </c>
      <c r="E180" s="2">
        <v>4.7</v>
      </c>
      <c r="F180" s="37">
        <v>46240</v>
      </c>
    </row>
    <row r="181" spans="1:6" x14ac:dyDescent="0.25">
      <c r="B181">
        <v>5397</v>
      </c>
      <c r="C181" t="s">
        <v>17</v>
      </c>
      <c r="D181" t="s">
        <v>164</v>
      </c>
      <c r="E181" s="2">
        <v>40</v>
      </c>
      <c r="F181" s="37">
        <v>46241</v>
      </c>
    </row>
    <row r="182" spans="1:6" x14ac:dyDescent="0.25">
      <c r="B182">
        <v>5397</v>
      </c>
      <c r="C182" t="s">
        <v>12</v>
      </c>
      <c r="D182" t="s">
        <v>587</v>
      </c>
      <c r="E182" s="2">
        <v>32.61</v>
      </c>
      <c r="F182" s="37">
        <v>46241</v>
      </c>
    </row>
    <row r="183" spans="1:6" x14ac:dyDescent="0.25">
      <c r="B183">
        <v>2513</v>
      </c>
      <c r="C183" t="s">
        <v>9</v>
      </c>
      <c r="D183" t="s">
        <v>588</v>
      </c>
      <c r="E183" s="2">
        <v>63</v>
      </c>
      <c r="F183" s="37">
        <v>46241</v>
      </c>
    </row>
    <row r="184" spans="1:6" hidden="1" x14ac:dyDescent="0.25">
      <c r="E184" s="2"/>
      <c r="F184" s="37"/>
    </row>
    <row r="185" spans="1:6" hidden="1" x14ac:dyDescent="0.25">
      <c r="E185" s="2"/>
      <c r="F185" s="37"/>
    </row>
    <row r="186" spans="1:6" hidden="1" x14ac:dyDescent="0.25">
      <c r="A186" s="21" t="s">
        <v>122</v>
      </c>
      <c r="B186" s="21"/>
      <c r="C186" s="21" t="s">
        <v>10</v>
      </c>
      <c r="D186" s="21" t="s">
        <v>185</v>
      </c>
      <c r="E186" s="28">
        <v>50</v>
      </c>
      <c r="F186" s="38" t="s">
        <v>245</v>
      </c>
    </row>
    <row r="187" spans="1:6" hidden="1" x14ac:dyDescent="0.25">
      <c r="A187" s="21" t="s">
        <v>122</v>
      </c>
      <c r="B187" s="21"/>
      <c r="C187" s="21" t="s">
        <v>10</v>
      </c>
      <c r="D187" s="21" t="s">
        <v>187</v>
      </c>
      <c r="E187" s="28">
        <v>100</v>
      </c>
      <c r="F187" s="38" t="s">
        <v>188</v>
      </c>
    </row>
    <row r="188" spans="1:6" hidden="1" x14ac:dyDescent="0.25">
      <c r="A188" s="21" t="s">
        <v>122</v>
      </c>
      <c r="B188" s="21"/>
      <c r="C188" s="21" t="s">
        <v>10</v>
      </c>
      <c r="D188" s="21" t="s">
        <v>186</v>
      </c>
      <c r="E188" s="28">
        <v>150</v>
      </c>
      <c r="F188" s="38" t="s">
        <v>229</v>
      </c>
    </row>
    <row r="189" spans="1:6" hidden="1" x14ac:dyDescent="0.25">
      <c r="A189" s="21"/>
      <c r="B189" s="21">
        <v>5397</v>
      </c>
      <c r="C189" t="s">
        <v>9</v>
      </c>
      <c r="D189" t="s">
        <v>288</v>
      </c>
      <c r="E189">
        <f>-9.72*(-1)</f>
        <v>9.7200000000000006</v>
      </c>
      <c r="F189" s="3">
        <v>46023</v>
      </c>
    </row>
    <row r="190" spans="1:6" hidden="1" x14ac:dyDescent="0.25">
      <c r="B190" s="21">
        <v>5397</v>
      </c>
      <c r="C190" t="s">
        <v>9</v>
      </c>
      <c r="D190" t="s">
        <v>288</v>
      </c>
      <c r="E190">
        <f>-7.56*(-1)</f>
        <v>7.56</v>
      </c>
      <c r="F190" s="3">
        <v>46024</v>
      </c>
    </row>
    <row r="191" spans="1:6" hidden="1" x14ac:dyDescent="0.25">
      <c r="B191" s="21">
        <v>5397</v>
      </c>
      <c r="C191" t="s">
        <v>9</v>
      </c>
      <c r="D191" t="s">
        <v>288</v>
      </c>
      <c r="E191">
        <f>-7.56*(-1)</f>
        <v>7.56</v>
      </c>
      <c r="F191" s="3">
        <v>46024</v>
      </c>
    </row>
    <row r="192" spans="1:6" hidden="1" x14ac:dyDescent="0.25">
      <c r="B192" s="21">
        <v>5397</v>
      </c>
      <c r="C192" t="s">
        <v>9</v>
      </c>
      <c r="D192" t="s">
        <v>288</v>
      </c>
      <c r="E192">
        <f>-7.56*(-1)</f>
        <v>7.56</v>
      </c>
      <c r="F192" s="3">
        <v>46024</v>
      </c>
    </row>
    <row r="193" spans="2:6" hidden="1" x14ac:dyDescent="0.25">
      <c r="B193" s="21">
        <v>5397</v>
      </c>
      <c r="C193" t="s">
        <v>75</v>
      </c>
      <c r="D193" t="s">
        <v>590</v>
      </c>
      <c r="E193">
        <f>-6.36*(-1)</f>
        <v>6.36</v>
      </c>
      <c r="F193" s="3">
        <v>46026</v>
      </c>
    </row>
    <row r="194" spans="2:6" hidden="1" x14ac:dyDescent="0.25">
      <c r="B194" s="21">
        <v>5397</v>
      </c>
      <c r="C194" t="s">
        <v>11</v>
      </c>
      <c r="D194" t="s">
        <v>216</v>
      </c>
      <c r="E194">
        <f>-22*(-1)</f>
        <v>22</v>
      </c>
      <c r="F194" s="3">
        <v>46026</v>
      </c>
    </row>
    <row r="195" spans="2:6" hidden="1" x14ac:dyDescent="0.25">
      <c r="B195" s="21">
        <v>5397</v>
      </c>
      <c r="C195" t="s">
        <v>11</v>
      </c>
      <c r="D195" t="s">
        <v>216</v>
      </c>
      <c r="E195">
        <f>-59.99*(-1)</f>
        <v>59.99</v>
      </c>
      <c r="F195" s="3">
        <v>46027</v>
      </c>
    </row>
    <row r="196" spans="2:6" hidden="1" x14ac:dyDescent="0.25">
      <c r="B196" s="21">
        <v>5397</v>
      </c>
      <c r="C196" t="s">
        <v>17</v>
      </c>
      <c r="D196" t="s">
        <v>591</v>
      </c>
      <c r="E196">
        <f>-35.44*(-1)</f>
        <v>35.44</v>
      </c>
      <c r="F196" s="3">
        <v>46027</v>
      </c>
    </row>
    <row r="197" spans="2:6" hidden="1" x14ac:dyDescent="0.25">
      <c r="B197" s="21">
        <v>5397</v>
      </c>
      <c r="C197" t="s">
        <v>6</v>
      </c>
      <c r="D197" t="s">
        <v>276</v>
      </c>
      <c r="E197">
        <f>-167.23*(-1)</f>
        <v>167.23</v>
      </c>
      <c r="F197" s="3">
        <v>46027</v>
      </c>
    </row>
    <row r="198" spans="2:6" hidden="1" x14ac:dyDescent="0.25">
      <c r="B198" s="21">
        <v>5397</v>
      </c>
      <c r="C198" t="s">
        <v>10</v>
      </c>
      <c r="D198" t="s">
        <v>388</v>
      </c>
      <c r="E198">
        <f>-18.59*(-1)</f>
        <v>18.59</v>
      </c>
      <c r="F198" s="3">
        <v>46027</v>
      </c>
    </row>
    <row r="199" spans="2:6" hidden="1" x14ac:dyDescent="0.25">
      <c r="B199" s="21">
        <v>5397</v>
      </c>
      <c r="C199" t="s">
        <v>6</v>
      </c>
      <c r="D199" t="s">
        <v>276</v>
      </c>
      <c r="E199">
        <f>-39.73*(-1)</f>
        <v>39.729999999999997</v>
      </c>
      <c r="F199" s="3">
        <v>46028</v>
      </c>
    </row>
    <row r="200" spans="2:6" hidden="1" x14ac:dyDescent="0.25">
      <c r="B200" s="21">
        <v>5397</v>
      </c>
      <c r="C200" t="s">
        <v>9</v>
      </c>
      <c r="D200" t="s">
        <v>592</v>
      </c>
      <c r="E200">
        <f>-9.95*(-1)</f>
        <v>9.9499999999999993</v>
      </c>
      <c r="F200" s="3">
        <v>46033</v>
      </c>
    </row>
    <row r="201" spans="2:6" hidden="1" x14ac:dyDescent="0.25">
      <c r="B201" s="21">
        <v>5397</v>
      </c>
      <c r="C201" t="s">
        <v>9</v>
      </c>
      <c r="D201" t="s">
        <v>593</v>
      </c>
      <c r="E201">
        <f>-17.01*(-1)</f>
        <v>17.010000000000002</v>
      </c>
      <c r="F201" s="3">
        <v>46033</v>
      </c>
    </row>
    <row r="202" spans="2:6" hidden="1" x14ac:dyDescent="0.25">
      <c r="B202" s="21">
        <v>5397</v>
      </c>
      <c r="C202" t="s">
        <v>11</v>
      </c>
      <c r="D202" t="s">
        <v>408</v>
      </c>
      <c r="E202">
        <f>-40.35*(-1)</f>
        <v>40.35</v>
      </c>
      <c r="F202" s="3">
        <v>46033</v>
      </c>
    </row>
    <row r="203" spans="2:6" hidden="1" x14ac:dyDescent="0.25">
      <c r="B203" s="21">
        <v>5397</v>
      </c>
      <c r="C203" t="s">
        <v>6</v>
      </c>
      <c r="D203" t="s">
        <v>326</v>
      </c>
      <c r="E203">
        <f>-163.67*(-1)</f>
        <v>163.66999999999999</v>
      </c>
      <c r="F203" s="3">
        <v>46034</v>
      </c>
    </row>
    <row r="204" spans="2:6" hidden="1" x14ac:dyDescent="0.25">
      <c r="B204" s="21">
        <v>5397</v>
      </c>
      <c r="C204" t="s">
        <v>6</v>
      </c>
      <c r="D204" t="s">
        <v>405</v>
      </c>
      <c r="E204">
        <f>-12.88*(-1)</f>
        <v>12.88</v>
      </c>
      <c r="F204" s="3">
        <v>46035</v>
      </c>
    </row>
    <row r="205" spans="2:6" hidden="1" x14ac:dyDescent="0.25">
      <c r="B205" s="21">
        <v>5397</v>
      </c>
      <c r="C205" t="s">
        <v>6</v>
      </c>
      <c r="D205" t="s">
        <v>405</v>
      </c>
      <c r="E205">
        <f>-9.79*(-1)</f>
        <v>9.7899999999999991</v>
      </c>
      <c r="F205" s="3">
        <v>46040</v>
      </c>
    </row>
    <row r="206" spans="2:6" hidden="1" x14ac:dyDescent="0.25">
      <c r="B206" s="21">
        <v>5397</v>
      </c>
      <c r="C206" t="s">
        <v>268</v>
      </c>
      <c r="D206" t="s">
        <v>404</v>
      </c>
      <c r="E206">
        <f>-220*(-1)</f>
        <v>220</v>
      </c>
      <c r="F206" s="3">
        <v>46041</v>
      </c>
    </row>
    <row r="207" spans="2:6" hidden="1" x14ac:dyDescent="0.25">
      <c r="B207" s="21">
        <v>5397</v>
      </c>
      <c r="C207" t="s">
        <v>268</v>
      </c>
      <c r="D207" t="s">
        <v>404</v>
      </c>
      <c r="E207">
        <f>-15.84*(-1)</f>
        <v>15.84</v>
      </c>
      <c r="F207" s="3">
        <v>46041</v>
      </c>
    </row>
    <row r="208" spans="2:6" hidden="1" x14ac:dyDescent="0.25">
      <c r="B208" s="21">
        <v>5397</v>
      </c>
      <c r="C208" t="s">
        <v>9</v>
      </c>
      <c r="D208" t="s">
        <v>404</v>
      </c>
      <c r="E208">
        <f>-38.41*(-1)</f>
        <v>38.409999999999997</v>
      </c>
      <c r="F208" s="3">
        <v>46041</v>
      </c>
    </row>
    <row r="209" spans="2:6" hidden="1" x14ac:dyDescent="0.25">
      <c r="B209" s="21">
        <v>5397</v>
      </c>
      <c r="C209" t="s">
        <v>9</v>
      </c>
      <c r="D209" t="s">
        <v>594</v>
      </c>
      <c r="E209">
        <f>-105.65*(-1)</f>
        <v>105.65</v>
      </c>
      <c r="F209" s="3">
        <v>46047</v>
      </c>
    </row>
    <row r="210" spans="2:6" hidden="1" x14ac:dyDescent="0.25">
      <c r="B210" s="21">
        <v>5397</v>
      </c>
      <c r="C210" t="s">
        <v>218</v>
      </c>
      <c r="D210" t="s">
        <v>595</v>
      </c>
      <c r="E210">
        <f>-54.54*(-1)</f>
        <v>54.54</v>
      </c>
      <c r="F210" s="3">
        <v>46047</v>
      </c>
    </row>
    <row r="211" spans="2:6" hidden="1" x14ac:dyDescent="0.25">
      <c r="B211" s="21">
        <v>5397</v>
      </c>
      <c r="C211" t="s">
        <v>10</v>
      </c>
      <c r="D211" t="s">
        <v>596</v>
      </c>
      <c r="E211">
        <f>-35.06*(-1)</f>
        <v>35.06</v>
      </c>
      <c r="F211" s="3">
        <v>46051</v>
      </c>
    </row>
    <row r="212" spans="2:6" hidden="1" x14ac:dyDescent="0.25">
      <c r="B212" s="21">
        <v>5397</v>
      </c>
      <c r="C212" t="s">
        <v>584</v>
      </c>
      <c r="D212" t="s">
        <v>597</v>
      </c>
      <c r="E212">
        <f>-108.09*(-1)</f>
        <v>108.09</v>
      </c>
      <c r="F212" s="3">
        <v>46051</v>
      </c>
    </row>
    <row r="213" spans="2:6" hidden="1" x14ac:dyDescent="0.25">
      <c r="B213" s="21">
        <v>5397</v>
      </c>
      <c r="C213" t="s">
        <v>10</v>
      </c>
      <c r="D213" t="s">
        <v>596</v>
      </c>
      <c r="E213">
        <f>19.12*(-1)</f>
        <v>-19.12</v>
      </c>
      <c r="F213" s="3">
        <v>46054</v>
      </c>
    </row>
    <row r="214" spans="2:6" hidden="1" x14ac:dyDescent="0.25">
      <c r="B214" s="21">
        <v>5397</v>
      </c>
      <c r="C214" t="s">
        <v>6</v>
      </c>
      <c r="D214" t="s">
        <v>326</v>
      </c>
      <c r="E214">
        <f>-144.9*(-1)</f>
        <v>144.9</v>
      </c>
      <c r="F214" s="3">
        <v>46055</v>
      </c>
    </row>
    <row r="215" spans="2:6" hidden="1" x14ac:dyDescent="0.25">
      <c r="B215" s="21">
        <v>5397</v>
      </c>
      <c r="C215" t="s">
        <v>11</v>
      </c>
      <c r="D215" t="s">
        <v>216</v>
      </c>
      <c r="E215">
        <f>-22*(-1)</f>
        <v>22</v>
      </c>
      <c r="F215" s="3">
        <v>46056</v>
      </c>
    </row>
    <row r="216" spans="2:6" hidden="1" x14ac:dyDescent="0.25">
      <c r="B216" s="21">
        <v>5397</v>
      </c>
      <c r="C216" t="s">
        <v>9</v>
      </c>
      <c r="D216" t="s">
        <v>322</v>
      </c>
      <c r="E216">
        <f>-28.42*(-1)</f>
        <v>28.42</v>
      </c>
      <c r="F216" s="3">
        <v>46061</v>
      </c>
    </row>
    <row r="217" spans="2:6" hidden="1" x14ac:dyDescent="0.25">
      <c r="B217" s="21">
        <v>5397</v>
      </c>
      <c r="C217" t="s">
        <v>7</v>
      </c>
      <c r="D217" t="s">
        <v>598</v>
      </c>
      <c r="E217">
        <f>-369.52*(-1)</f>
        <v>369.52</v>
      </c>
      <c r="F217" s="3">
        <v>46068</v>
      </c>
    </row>
    <row r="218" spans="2:6" hidden="1" x14ac:dyDescent="0.25">
      <c r="B218" s="21">
        <v>5397</v>
      </c>
      <c r="C218" t="s">
        <v>7</v>
      </c>
      <c r="D218" t="s">
        <v>598</v>
      </c>
      <c r="E218">
        <f>-355*(-1)</f>
        <v>355</v>
      </c>
      <c r="F218" s="3">
        <v>46068</v>
      </c>
    </row>
    <row r="219" spans="2:6" hidden="1" x14ac:dyDescent="0.25">
      <c r="B219" s="21">
        <v>5397</v>
      </c>
      <c r="C219" t="s">
        <v>14</v>
      </c>
      <c r="D219" t="s">
        <v>599</v>
      </c>
      <c r="E219">
        <f>-3.63*(-1)</f>
        <v>3.63</v>
      </c>
      <c r="F219" s="3">
        <v>46073</v>
      </c>
    </row>
    <row r="220" spans="2:6" hidden="1" x14ac:dyDescent="0.25">
      <c r="B220" s="21">
        <v>5397</v>
      </c>
      <c r="C220" t="s">
        <v>9</v>
      </c>
      <c r="D220" t="s">
        <v>592</v>
      </c>
      <c r="E220">
        <f>-5*(-1)</f>
        <v>5</v>
      </c>
      <c r="F220" s="3">
        <v>46073</v>
      </c>
    </row>
    <row r="221" spans="2:6" hidden="1" x14ac:dyDescent="0.25">
      <c r="B221" s="21">
        <v>5397</v>
      </c>
      <c r="C221" t="s">
        <v>17</v>
      </c>
      <c r="D221" t="s">
        <v>600</v>
      </c>
      <c r="E221">
        <f>-8.99*(-1)</f>
        <v>8.99</v>
      </c>
      <c r="F221" s="3">
        <v>46075</v>
      </c>
    </row>
    <row r="222" spans="2:6" hidden="1" x14ac:dyDescent="0.25">
      <c r="B222" s="21">
        <v>5397</v>
      </c>
      <c r="C222" t="s">
        <v>6</v>
      </c>
      <c r="D222" t="s">
        <v>601</v>
      </c>
      <c r="E222">
        <f>-16.97*(-1)</f>
        <v>16.97</v>
      </c>
      <c r="F222" s="3">
        <v>46075</v>
      </c>
    </row>
    <row r="223" spans="2:6" hidden="1" x14ac:dyDescent="0.25">
      <c r="B223" s="21">
        <v>5397</v>
      </c>
      <c r="C223" t="s">
        <v>6</v>
      </c>
      <c r="D223" t="s">
        <v>602</v>
      </c>
      <c r="E223">
        <f>-30.61*(-1)</f>
        <v>30.61</v>
      </c>
      <c r="F223" s="3">
        <v>46075</v>
      </c>
    </row>
    <row r="224" spans="2:6" hidden="1" x14ac:dyDescent="0.25">
      <c r="B224" s="21">
        <v>5397</v>
      </c>
      <c r="C224" t="s">
        <v>17</v>
      </c>
      <c r="D224" t="s">
        <v>278</v>
      </c>
      <c r="E224">
        <f>-5.83*(-1)</f>
        <v>5.83</v>
      </c>
      <c r="F224" s="3">
        <v>46075</v>
      </c>
    </row>
    <row r="225" spans="2:6" hidden="1" x14ac:dyDescent="0.25">
      <c r="B225" s="21">
        <v>5397</v>
      </c>
      <c r="C225" t="s">
        <v>14</v>
      </c>
      <c r="D225" t="s">
        <v>603</v>
      </c>
      <c r="E225">
        <f>-3.11*(-1)</f>
        <v>3.11</v>
      </c>
      <c r="F225" s="3">
        <v>46076</v>
      </c>
    </row>
    <row r="226" spans="2:6" hidden="1" x14ac:dyDescent="0.25">
      <c r="B226" s="21">
        <v>5397</v>
      </c>
      <c r="C226" t="s">
        <v>11</v>
      </c>
      <c r="D226" t="s">
        <v>604</v>
      </c>
      <c r="E226">
        <f>-4.23*(-1)</f>
        <v>4.2300000000000004</v>
      </c>
      <c r="F226" s="3">
        <v>46078</v>
      </c>
    </row>
    <row r="227" spans="2:6" hidden="1" x14ac:dyDescent="0.25">
      <c r="B227" s="21">
        <v>5397</v>
      </c>
      <c r="C227" t="s">
        <v>9</v>
      </c>
      <c r="D227" t="s">
        <v>605</v>
      </c>
      <c r="E227">
        <f>-26.49*(-1)</f>
        <v>26.49</v>
      </c>
      <c r="F227" s="3">
        <v>46079</v>
      </c>
    </row>
    <row r="228" spans="2:6" hidden="1" x14ac:dyDescent="0.25">
      <c r="B228" s="21">
        <v>5397</v>
      </c>
      <c r="C228" t="s">
        <v>9</v>
      </c>
      <c r="D228" t="s">
        <v>605</v>
      </c>
      <c r="E228">
        <f>-7.75*(-1)</f>
        <v>7.75</v>
      </c>
      <c r="F228" s="3">
        <v>46080</v>
      </c>
    </row>
    <row r="229" spans="2:6" hidden="1" x14ac:dyDescent="0.25">
      <c r="B229" s="21">
        <v>5397</v>
      </c>
      <c r="C229" t="s">
        <v>9</v>
      </c>
      <c r="D229" t="s">
        <v>605</v>
      </c>
      <c r="E229">
        <f>-29.74*(-1)</f>
        <v>29.74</v>
      </c>
      <c r="F229" s="3">
        <v>46080</v>
      </c>
    </row>
    <row r="230" spans="2:6" hidden="1" x14ac:dyDescent="0.25">
      <c r="B230" s="21">
        <v>5397</v>
      </c>
      <c r="C230" t="s">
        <v>14</v>
      </c>
      <c r="D230" t="s">
        <v>358</v>
      </c>
      <c r="E230">
        <f>-32.6*(-1)</f>
        <v>32.6</v>
      </c>
      <c r="F230" s="3">
        <v>46080</v>
      </c>
    </row>
    <row r="231" spans="2:6" hidden="1" x14ac:dyDescent="0.25">
      <c r="B231" s="21">
        <v>5397</v>
      </c>
      <c r="C231" t="s">
        <v>27</v>
      </c>
      <c r="D231" t="s">
        <v>606</v>
      </c>
      <c r="E231">
        <v>0</v>
      </c>
      <c r="F231" s="3">
        <v>46082</v>
      </c>
    </row>
    <row r="232" spans="2:6" hidden="1" x14ac:dyDescent="0.25">
      <c r="B232" s="21">
        <v>5397</v>
      </c>
      <c r="C232" t="s">
        <v>9</v>
      </c>
      <c r="D232" t="s">
        <v>526</v>
      </c>
      <c r="E232">
        <f>-25.3*(-1)</f>
        <v>25.3</v>
      </c>
      <c r="F232" s="3">
        <v>46082</v>
      </c>
    </row>
    <row r="233" spans="2:6" hidden="1" x14ac:dyDescent="0.25">
      <c r="B233" s="21">
        <v>5397</v>
      </c>
      <c r="C233" t="s">
        <v>9</v>
      </c>
      <c r="D233" t="s">
        <v>358</v>
      </c>
      <c r="E233">
        <f>-77.66*(-1)</f>
        <v>77.66</v>
      </c>
      <c r="F233" s="3">
        <v>46082</v>
      </c>
    </row>
    <row r="234" spans="2:6" hidden="1" x14ac:dyDescent="0.25">
      <c r="B234" s="21">
        <v>5397</v>
      </c>
      <c r="C234" t="s">
        <v>6</v>
      </c>
      <c r="D234" t="s">
        <v>326</v>
      </c>
      <c r="E234">
        <f>-117.76*(-1)</f>
        <v>117.76</v>
      </c>
      <c r="F234" s="3">
        <v>46082</v>
      </c>
    </row>
    <row r="235" spans="2:6" hidden="1" x14ac:dyDescent="0.25">
      <c r="B235" s="21">
        <v>5397</v>
      </c>
      <c r="C235" t="s">
        <v>75</v>
      </c>
      <c r="D235" t="s">
        <v>607</v>
      </c>
      <c r="E235">
        <f>-21.24*(-1)</f>
        <v>21.24</v>
      </c>
      <c r="F235" s="3">
        <v>46082</v>
      </c>
    </row>
    <row r="236" spans="2:6" hidden="1" x14ac:dyDescent="0.25">
      <c r="B236" s="21">
        <v>5397</v>
      </c>
      <c r="C236" t="s">
        <v>6</v>
      </c>
      <c r="D236" t="s">
        <v>326</v>
      </c>
      <c r="E236">
        <f>-5.97*(-1)</f>
        <v>5.97</v>
      </c>
      <c r="F236" s="3">
        <v>46082</v>
      </c>
    </row>
    <row r="237" spans="2:6" hidden="1" x14ac:dyDescent="0.25">
      <c r="B237" s="21">
        <v>5397</v>
      </c>
      <c r="C237" t="s">
        <v>14</v>
      </c>
      <c r="D237" t="s">
        <v>608</v>
      </c>
      <c r="E237">
        <f>-9.1*(-1)</f>
        <v>9.1</v>
      </c>
      <c r="F237" s="3">
        <v>46082</v>
      </c>
    </row>
    <row r="238" spans="2:6" hidden="1" x14ac:dyDescent="0.25">
      <c r="B238" s="21">
        <v>5397</v>
      </c>
      <c r="C238" t="s">
        <v>9</v>
      </c>
      <c r="D238" t="s">
        <v>609</v>
      </c>
      <c r="E238">
        <f>-24.01*(-1)</f>
        <v>24.01</v>
      </c>
      <c r="F238" s="3">
        <v>46083</v>
      </c>
    </row>
    <row r="239" spans="2:6" hidden="1" x14ac:dyDescent="0.25">
      <c r="B239" s="21">
        <v>5397</v>
      </c>
      <c r="C239" t="s">
        <v>6</v>
      </c>
      <c r="D239" t="s">
        <v>276</v>
      </c>
      <c r="E239">
        <f>-102.44*(-1)</f>
        <v>102.44</v>
      </c>
      <c r="F239" s="3">
        <v>46084</v>
      </c>
    </row>
    <row r="240" spans="2:6" hidden="1" x14ac:dyDescent="0.25">
      <c r="B240" s="21">
        <v>5397</v>
      </c>
      <c r="C240" t="s">
        <v>11</v>
      </c>
      <c r="D240" t="s">
        <v>216</v>
      </c>
      <c r="E240">
        <f>-22*(-1)</f>
        <v>22</v>
      </c>
      <c r="F240" s="3">
        <v>46084</v>
      </c>
    </row>
    <row r="241" spans="2:6" hidden="1" x14ac:dyDescent="0.25">
      <c r="B241" s="21">
        <v>5397</v>
      </c>
      <c r="C241" t="s">
        <v>10</v>
      </c>
      <c r="D241" t="s">
        <v>610</v>
      </c>
      <c r="E241">
        <f>-29.72*(-1)</f>
        <v>29.72</v>
      </c>
      <c r="F241" s="3">
        <v>46105</v>
      </c>
    </row>
    <row r="242" spans="2:6" hidden="1" x14ac:dyDescent="0.25">
      <c r="B242" s="21">
        <v>5397</v>
      </c>
      <c r="C242" t="s">
        <v>17</v>
      </c>
      <c r="D242" t="s">
        <v>611</v>
      </c>
      <c r="E242">
        <f>-49.83*(-1)</f>
        <v>49.83</v>
      </c>
      <c r="F242" s="3">
        <v>46108</v>
      </c>
    </row>
    <row r="243" spans="2:6" hidden="1" x14ac:dyDescent="0.25">
      <c r="B243" s="21">
        <v>5397</v>
      </c>
      <c r="C243" t="s">
        <v>8</v>
      </c>
      <c r="D243" t="s">
        <v>289</v>
      </c>
      <c r="E243">
        <f>-5.29*(-1)</f>
        <v>5.29</v>
      </c>
      <c r="F243" s="3">
        <v>46111</v>
      </c>
    </row>
    <row r="244" spans="2:6" hidden="1" x14ac:dyDescent="0.25">
      <c r="B244" s="21">
        <v>5397</v>
      </c>
      <c r="C244" t="s">
        <v>6</v>
      </c>
      <c r="D244" t="s">
        <v>276</v>
      </c>
      <c r="E244">
        <f>-139.78*(-1)</f>
        <v>139.78</v>
      </c>
      <c r="F244" s="3">
        <v>46112</v>
      </c>
    </row>
    <row r="245" spans="2:6" hidden="1" x14ac:dyDescent="0.25">
      <c r="B245" s="21">
        <v>5397</v>
      </c>
      <c r="C245" t="s">
        <v>9</v>
      </c>
      <c r="D245" t="s">
        <v>612</v>
      </c>
      <c r="E245">
        <f>-21.91*(-1)</f>
        <v>21.91</v>
      </c>
      <c r="F245" s="3">
        <v>46112</v>
      </c>
    </row>
    <row r="246" spans="2:6" hidden="1" x14ac:dyDescent="0.25">
      <c r="B246" s="21">
        <v>5397</v>
      </c>
      <c r="C246" t="s">
        <v>17</v>
      </c>
      <c r="D246" t="s">
        <v>278</v>
      </c>
      <c r="E246">
        <f>-47.44*(-1)</f>
        <v>47.44</v>
      </c>
      <c r="F246" s="3">
        <v>46112</v>
      </c>
    </row>
    <row r="247" spans="2:6" hidden="1" x14ac:dyDescent="0.25">
      <c r="B247" s="21">
        <v>5397</v>
      </c>
      <c r="C247" t="s">
        <v>10</v>
      </c>
      <c r="D247" t="s">
        <v>613</v>
      </c>
      <c r="E247">
        <f>-48*(-1)</f>
        <v>48</v>
      </c>
      <c r="F247" s="3">
        <v>46114</v>
      </c>
    </row>
    <row r="248" spans="2:6" hidden="1" x14ac:dyDescent="0.25">
      <c r="B248" s="21">
        <v>5397</v>
      </c>
      <c r="C248" t="s">
        <v>11</v>
      </c>
      <c r="D248" t="s">
        <v>216</v>
      </c>
      <c r="E248">
        <f>-22*(-1)</f>
        <v>22</v>
      </c>
      <c r="F248" s="3">
        <v>46115</v>
      </c>
    </row>
    <row r="249" spans="2:6" hidden="1" x14ac:dyDescent="0.25">
      <c r="B249" s="21">
        <v>5397</v>
      </c>
      <c r="C249" t="s">
        <v>8</v>
      </c>
      <c r="D249" t="s">
        <v>289</v>
      </c>
      <c r="E249">
        <f>-76.75*(-1)</f>
        <v>76.75</v>
      </c>
      <c r="F249" s="3">
        <v>46117</v>
      </c>
    </row>
    <row r="250" spans="2:6" hidden="1" x14ac:dyDescent="0.25">
      <c r="B250" s="21">
        <v>5397</v>
      </c>
      <c r="C250" t="s">
        <v>6</v>
      </c>
      <c r="D250" t="s">
        <v>312</v>
      </c>
      <c r="E250">
        <f>-9*(-1)</f>
        <v>9</v>
      </c>
      <c r="F250" s="3">
        <v>46117</v>
      </c>
    </row>
    <row r="251" spans="2:6" hidden="1" x14ac:dyDescent="0.25">
      <c r="B251" s="21">
        <v>5397</v>
      </c>
      <c r="C251" t="s">
        <v>9</v>
      </c>
      <c r="D251" t="s">
        <v>282</v>
      </c>
      <c r="E251">
        <f>-81.27*(-1)</f>
        <v>81.27</v>
      </c>
      <c r="F251" s="3">
        <v>46117</v>
      </c>
    </row>
    <row r="252" spans="2:6" hidden="1" x14ac:dyDescent="0.25">
      <c r="B252" s="21">
        <v>5397</v>
      </c>
      <c r="C252" t="s">
        <v>14</v>
      </c>
      <c r="D252" t="s">
        <v>530</v>
      </c>
      <c r="E252">
        <f>-3.84*(-1)</f>
        <v>3.84</v>
      </c>
      <c r="F252" s="3">
        <v>46117</v>
      </c>
    </row>
    <row r="253" spans="2:6" hidden="1" x14ac:dyDescent="0.25">
      <c r="B253" s="21">
        <v>5397</v>
      </c>
      <c r="C253" t="s">
        <v>14</v>
      </c>
      <c r="D253" t="s">
        <v>614</v>
      </c>
      <c r="E253">
        <f>-9.69*(-1)</f>
        <v>9.69</v>
      </c>
      <c r="F253" s="3">
        <v>46118</v>
      </c>
    </row>
    <row r="254" spans="2:6" hidden="1" x14ac:dyDescent="0.25">
      <c r="B254" s="21">
        <v>5397</v>
      </c>
      <c r="C254" t="s">
        <v>6</v>
      </c>
      <c r="D254" t="s">
        <v>276</v>
      </c>
      <c r="E254">
        <f>-118.45*(-1)</f>
        <v>118.45</v>
      </c>
      <c r="F254" s="3">
        <v>46119</v>
      </c>
    </row>
    <row r="255" spans="2:6" hidden="1" x14ac:dyDescent="0.25">
      <c r="B255" s="21">
        <v>5397</v>
      </c>
      <c r="C255" t="s">
        <v>17</v>
      </c>
      <c r="D255" t="s">
        <v>615</v>
      </c>
      <c r="E255">
        <f>-37.41*(-1)</f>
        <v>37.409999999999997</v>
      </c>
      <c r="F255" s="3">
        <v>46119</v>
      </c>
    </row>
    <row r="256" spans="2:6" hidden="1" x14ac:dyDescent="0.25">
      <c r="B256" s="21">
        <v>5397</v>
      </c>
      <c r="C256" t="s">
        <v>8</v>
      </c>
      <c r="D256" t="s">
        <v>289</v>
      </c>
      <c r="E256">
        <f>-41.65*(-1)</f>
        <v>41.65</v>
      </c>
      <c r="F256" s="3">
        <v>46120</v>
      </c>
    </row>
    <row r="257" spans="1:7" hidden="1" x14ac:dyDescent="0.25">
      <c r="B257" s="21">
        <v>5397</v>
      </c>
      <c r="C257" t="s">
        <v>8</v>
      </c>
      <c r="D257" t="s">
        <v>616</v>
      </c>
      <c r="E257">
        <f>-24.71*(-1)</f>
        <v>24.71</v>
      </c>
      <c r="F257" s="3">
        <v>46120</v>
      </c>
    </row>
    <row r="258" spans="1:7" hidden="1" x14ac:dyDescent="0.25">
      <c r="B258" s="21">
        <v>5397</v>
      </c>
      <c r="C258" t="s">
        <v>8</v>
      </c>
      <c r="D258" t="s">
        <v>289</v>
      </c>
      <c r="E258">
        <f>-43.96*(-1)</f>
        <v>43.96</v>
      </c>
      <c r="F258" s="3">
        <v>46120</v>
      </c>
    </row>
    <row r="259" spans="1:7" hidden="1" x14ac:dyDescent="0.25">
      <c r="B259" s="21">
        <v>5397</v>
      </c>
      <c r="C259" t="s">
        <v>7</v>
      </c>
      <c r="D259" t="s">
        <v>617</v>
      </c>
      <c r="E259">
        <f>-104.8*(-1)</f>
        <v>104.8</v>
      </c>
      <c r="F259" s="3">
        <v>46121</v>
      </c>
    </row>
    <row r="260" spans="1:7" hidden="1" x14ac:dyDescent="0.25">
      <c r="B260" s="21">
        <v>5397</v>
      </c>
      <c r="C260" t="s">
        <v>8</v>
      </c>
      <c r="D260" t="s">
        <v>289</v>
      </c>
      <c r="E260">
        <f>-6*(-1)</f>
        <v>6</v>
      </c>
      <c r="F260" s="3">
        <v>46122</v>
      </c>
    </row>
    <row r="261" spans="1:7" hidden="1" x14ac:dyDescent="0.25">
      <c r="B261" s="21">
        <v>5397</v>
      </c>
      <c r="C261" t="s">
        <v>8</v>
      </c>
      <c r="D261" t="s">
        <v>289</v>
      </c>
      <c r="E261">
        <f>-128.88*(-1)</f>
        <v>128.88</v>
      </c>
      <c r="F261" s="3">
        <v>46139</v>
      </c>
    </row>
    <row r="262" spans="1:7" x14ac:dyDescent="0.25">
      <c r="A262" t="s">
        <v>23</v>
      </c>
      <c r="F262" s="1"/>
      <c r="G262">
        <f>SUBTOTAL(103,Table3[Column1])</f>
        <v>0</v>
      </c>
    </row>
  </sheetData>
  <dataValidations count="1">
    <dataValidation type="list" allowBlank="1" showInputMessage="1" showErrorMessage="1" sqref="C122:C146" xr:uid="{DE6157F9-F1D5-45C6-BEB0-84FD5738136D}">
      <formula1>$J$3:$J$20</formula1>
    </dataValidation>
  </dataValidations>
  <pageMargins left="0.7" right="0.7" top="0.75" bottom="0.75" header="0.3" footer="0.3"/>
  <pageSetup paperSize="288" orientation="portrait" horizontalDpi="203" verticalDpi="20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B553-AC02-429C-97FC-84CCD8FA65CF}">
  <dimension ref="A1:H11"/>
  <sheetViews>
    <sheetView workbookViewId="0">
      <selection activeCell="H2" sqref="H2"/>
    </sheetView>
    <sheetView workbookViewId="1"/>
  </sheetViews>
  <sheetFormatPr defaultRowHeight="15" x14ac:dyDescent="0.25"/>
  <cols>
    <col min="2" max="2" width="18.42578125" customWidth="1"/>
    <col min="4" max="4" width="16" customWidth="1"/>
    <col min="5" max="5" width="11.28515625" bestFit="1" customWidth="1"/>
    <col min="8" max="8" width="22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36</v>
      </c>
      <c r="E1" t="s">
        <v>23</v>
      </c>
      <c r="F1" t="s">
        <v>24</v>
      </c>
      <c r="G1" t="s">
        <v>25</v>
      </c>
      <c r="H1" t="s">
        <v>275</v>
      </c>
    </row>
    <row r="2" spans="1:8" x14ac:dyDescent="0.25">
      <c r="E2" s="2"/>
      <c r="G2" s="1"/>
      <c r="H2" s="41">
        <v>130000</v>
      </c>
    </row>
    <row r="3" spans="1:8" x14ac:dyDescent="0.25">
      <c r="E3" s="2"/>
      <c r="G3" s="1"/>
      <c r="H3" s="41"/>
    </row>
    <row r="4" spans="1:8" x14ac:dyDescent="0.25">
      <c r="E4" s="2"/>
      <c r="G4" s="1"/>
    </row>
    <row r="5" spans="1:8" x14ac:dyDescent="0.25">
      <c r="E5" s="2"/>
      <c r="G5" s="1"/>
    </row>
    <row r="6" spans="1:8" x14ac:dyDescent="0.25">
      <c r="E6" s="2"/>
      <c r="G6" s="1"/>
    </row>
    <row r="7" spans="1:8" x14ac:dyDescent="0.25">
      <c r="E7" s="2"/>
      <c r="G7" s="1"/>
    </row>
    <row r="8" spans="1:8" x14ac:dyDescent="0.25">
      <c r="E8" s="2"/>
      <c r="G8" s="1"/>
    </row>
    <row r="9" spans="1:8" x14ac:dyDescent="0.25">
      <c r="E9" s="2"/>
      <c r="G9" s="1"/>
    </row>
    <row r="11" spans="1:8" x14ac:dyDescent="0.25">
      <c r="E11" s="2"/>
      <c r="G11" s="1"/>
    </row>
  </sheetData>
  <pageMargins left="0.7" right="0.7" top="0.75" bottom="0.75" header="0.3" footer="0.3"/>
  <pageSetup paperSize="28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MonthlyBudget</vt:lpstr>
      <vt:lpstr>MonthlyBudget_Archive</vt:lpstr>
      <vt:lpstr>Accounts</vt:lpstr>
      <vt:lpstr>SpendingCorinne</vt:lpstr>
      <vt:lpstr>SpendingJoint</vt:lpstr>
      <vt:lpstr>SpendingJohn</vt:lpstr>
      <vt:lpstr>Incoming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Corinne Ajemian</cp:lastModifiedBy>
  <cp:revision/>
  <dcterms:created xsi:type="dcterms:W3CDTF">2026-05-05T00:19:26Z</dcterms:created>
  <dcterms:modified xsi:type="dcterms:W3CDTF">2026-08-12T20:41:54Z</dcterms:modified>
  <cp:category/>
  <cp:contentStatus/>
</cp:coreProperties>
</file>